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AAM\REPOSITORIOS\APP_REVISA_EXCEL_V2\PLANTILLAS\"/>
    </mc:Choice>
  </mc:AlternateContent>
  <xr:revisionPtr revIDLastSave="0" documentId="8_{E886A250-7AC5-44EC-848C-2EB051CDDD89}" xr6:coauthVersionLast="47" xr6:coauthVersionMax="47" xr10:uidLastSave="{00000000-0000-0000-0000-000000000000}"/>
  <bookViews>
    <workbookView xWindow="-28920" yWindow="2835" windowWidth="29040" windowHeight="15840" tabRatio="805" firstSheet="1" activeTab="9" xr2:uid="{AAFA7490-9102-4739-93B2-4EC0B99DB136}"/>
  </bookViews>
  <sheets>
    <sheet name="Instrucciones T. Dinámicas" sheetId="2" r:id="rId1"/>
    <sheet name="ventas por vendedor" sheetId="7" r:id="rId2"/>
    <sheet name="ventas por fecha" sheetId="8" r:id="rId3"/>
    <sheet name="productos por fecha" sheetId="9" r:id="rId4"/>
    <sheet name="Ejercicio I" sheetId="1" r:id="rId5"/>
    <sheet name="agrupado por fecha" sheetId="10" r:id="rId6"/>
    <sheet name="Ejercicio II" sheetId="4" r:id="rId7"/>
    <sheet name="ejercio 3" sheetId="11" r:id="rId8"/>
    <sheet name="Ejercicio III" sheetId="5" r:id="rId9"/>
    <sheet name="_RUBRICA" sheetId="12" r:id="rId10"/>
  </sheets>
  <definedNames>
    <definedName name="_xlnm._FilterDatabase" localSheetId="6" hidden="1">'Ejercicio II'!$B$2:$F$31</definedName>
    <definedName name="_xlnm._FilterDatabase" localSheetId="8" hidden="1">'Ejercicio III'!$B$2:$F$31</definedName>
  </definedNames>
  <calcPr calcId="191029"/>
  <pivotCaches>
    <pivotCache cacheId="0" r:id="rId11"/>
    <pivotCache cacheId="1" r:id="rId12"/>
    <pivotCache cacheId="2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2" l="1"/>
  <c r="F7" i="2"/>
  <c r="F9" i="2"/>
  <c r="F10" i="2"/>
</calcChain>
</file>

<file path=xl/sharedStrings.xml><?xml version="1.0" encoding="utf-8"?>
<sst xmlns="http://schemas.openxmlformats.org/spreadsheetml/2006/main" count="460" uniqueCount="116">
  <si>
    <t>Fecha</t>
  </si>
  <si>
    <t>Producto</t>
  </si>
  <si>
    <t>Tienda A</t>
  </si>
  <si>
    <t>Laptop i3</t>
  </si>
  <si>
    <t>Tienda B</t>
  </si>
  <si>
    <t xml:space="preserve">Impresora </t>
  </si>
  <si>
    <t>Pedro Noriega</t>
  </si>
  <si>
    <t>Laptop i5</t>
  </si>
  <si>
    <t>José Almanares</t>
  </si>
  <si>
    <t>Tienda C</t>
  </si>
  <si>
    <t>Pantalla 42</t>
  </si>
  <si>
    <t>Teclado</t>
  </si>
  <si>
    <t>Mouse</t>
  </si>
  <si>
    <t>Tienda D</t>
  </si>
  <si>
    <t>Laptop i7</t>
  </si>
  <si>
    <t>Pantalla 17</t>
  </si>
  <si>
    <t>USB 3.0.1</t>
  </si>
  <si>
    <t>Convertir Rango en Tabla</t>
  </si>
  <si>
    <t>Nombre</t>
  </si>
  <si>
    <t>Edad</t>
  </si>
  <si>
    <t>Ventas</t>
  </si>
  <si>
    <t>Total</t>
  </si>
  <si>
    <t>A</t>
  </si>
  <si>
    <t>B</t>
  </si>
  <si>
    <t>C</t>
  </si>
  <si>
    <t>RANGO</t>
  </si>
  <si>
    <t xml:space="preserve">Seleccionar cualquier celda del Rango de Datos </t>
  </si>
  <si>
    <t>Ir al Menú de Insertar</t>
  </si>
  <si>
    <t>Dar Clic en Tabla</t>
  </si>
  <si>
    <t>Verificar el Rango de los Datos que se Quieren Convertir a TABLA</t>
  </si>
  <si>
    <t>Clic en Botón ACEPTAR</t>
  </si>
  <si>
    <t>Al Dar Clic el Rango se Convierte en TABLA</t>
  </si>
  <si>
    <t>Al Seleccionar alguna de las Celdas de la Tabla, en la Parte Superior de Excel aparecerá el Menú "HERRAMIENTAS DE TABLA" - "DISEÑO DE TABLA"</t>
  </si>
  <si>
    <r>
      <t xml:space="preserve">Una vez que se haya convertido en Tabla el Rango se debe </t>
    </r>
    <r>
      <rPr>
        <b/>
        <sz val="12"/>
        <color rgb="FFFF0000"/>
        <rFont val="Calibri"/>
        <family val="2"/>
        <scheme val="minor"/>
      </rPr>
      <t>INSERTAR - TABLA DINÁMICA</t>
    </r>
  </si>
  <si>
    <r>
      <t xml:space="preserve">Seleccionar una de las Celdas de la </t>
    </r>
    <r>
      <rPr>
        <b/>
        <sz val="12"/>
        <color theme="1"/>
        <rFont val="Calibri"/>
        <family val="2"/>
        <scheme val="minor"/>
      </rPr>
      <t>Tabla ir al Menú de Insertar y Dar Clic en "Tabla Dinámica"</t>
    </r>
  </si>
  <si>
    <t>Se creará una nueva Hoja con la siguiente Información</t>
  </si>
  <si>
    <r>
      <rPr>
        <b/>
        <sz val="11"/>
        <color theme="1"/>
        <rFont val="Calibri"/>
        <family val="2"/>
        <scheme val="minor"/>
      </rPr>
      <t xml:space="preserve">Informe de la Tabla </t>
    </r>
    <r>
      <rPr>
        <sz val="11"/>
        <color theme="1"/>
        <rFont val="Calibri"/>
        <family val="2"/>
        <scheme val="minor"/>
      </rPr>
      <t xml:space="preserve">y al lado Derecho salen los </t>
    </r>
    <r>
      <rPr>
        <b/>
        <sz val="11"/>
        <color theme="1"/>
        <rFont val="Calibri"/>
        <family val="2"/>
        <scheme val="minor"/>
      </rPr>
      <t>Campos de la Tabla Dinámica</t>
    </r>
  </si>
  <si>
    <t>En los Campos de la Tabla Dinámica, se pasan los campos hacia FILTROS - COLUMNAS - FILAS y VALORES</t>
  </si>
  <si>
    <t>Se Arrastran hacia el área que se desea en el Informe</t>
  </si>
  <si>
    <t>Reporte Final de la Tabla Dinámica</t>
  </si>
  <si>
    <t>De la Misma Tabla se Pueden Realizar  Diferentes Tipos de Informes o Reportes</t>
  </si>
  <si>
    <t>En el Campo Valores se puede Cambiar el Tipo de Cálculo que se puede Realizar (Configuración de Campo de Valor…)</t>
  </si>
  <si>
    <t>Seleccionar la Configuración de Campo (Suma, Recuento, Promedio, Máx, Mín, Productos, etc)</t>
  </si>
  <si>
    <t>Nombre Vendedor</t>
  </si>
  <si>
    <t>Venta-Tienda</t>
  </si>
  <si>
    <t>Carmen Vasquez</t>
  </si>
  <si>
    <t>Juan Carmen</t>
  </si>
  <si>
    <t>Vendedor</t>
  </si>
  <si>
    <t>Tienda</t>
  </si>
  <si>
    <t>Importe</t>
  </si>
  <si>
    <t>Carlos Vasquez</t>
  </si>
  <si>
    <t>Juan Carlos</t>
  </si>
  <si>
    <t>tienda H</t>
  </si>
  <si>
    <t>Etiquetas de fila</t>
  </si>
  <si>
    <t>Total general</t>
  </si>
  <si>
    <t>Etiquetas de columna</t>
  </si>
  <si>
    <t>Suma de Total</t>
  </si>
  <si>
    <t>2020</t>
  </si>
  <si>
    <t>2021</t>
  </si>
  <si>
    <t>2022</t>
  </si>
  <si>
    <t>2025</t>
  </si>
  <si>
    <t>Cuenta de Producto</t>
  </si>
  <si>
    <t>2017</t>
  </si>
  <si>
    <t>2018</t>
  </si>
  <si>
    <t>2019</t>
  </si>
  <si>
    <t>Suma de Importe</t>
  </si>
  <si>
    <t>Máx. de Importe</t>
  </si>
  <si>
    <t>(Todas)</t>
  </si>
  <si>
    <t>ID</t>
  </si>
  <si>
    <t>CRITERIO</t>
  </si>
  <si>
    <t>HOJA</t>
  </si>
  <si>
    <t>TIPO_VALIDACION</t>
  </si>
  <si>
    <t>PARAMETROS</t>
  </si>
  <si>
    <t>PUNTOS</t>
  </si>
  <si>
    <t>OBLIGATORIO</t>
  </si>
  <si>
    <t>CRIT_01</t>
  </si>
  <si>
    <t>Calcular Subtotal multiplicando Cantidad por Precio Unitario</t>
  </si>
  <si>
    <t>E2:E10</t>
  </si>
  <si>
    <t>formula_flexible</t>
  </si>
  <si>
    <t>{"referencias": ["C", "D"]}</t>
  </si>
  <si>
    <t>SI</t>
  </si>
  <si>
    <t>CRIT_02</t>
  </si>
  <si>
    <t>Calcular Total general de Ventas mediante función SUMA</t>
  </si>
  <si>
    <t>G11</t>
  </si>
  <si>
    <t>{"funciones": ["SUMA", "SUM"], "referencias": ["G2:G10"]}</t>
  </si>
  <si>
    <t>CRIT_03</t>
  </si>
  <si>
    <t>Verificar valor numérico del Gran Total de Ventas</t>
  </si>
  <si>
    <t>valor_numerico</t>
  </si>
  <si>
    <t>{"valor": 5006.5, "tolerancia": 1.0}</t>
  </si>
  <si>
    <t>NO</t>
  </si>
  <si>
    <t>CRIT_04</t>
  </si>
  <si>
    <t>Aplicar formato de Moneda en columnas de precio y totales</t>
  </si>
  <si>
    <t>D2:G11</t>
  </si>
  <si>
    <t>formato_numero</t>
  </si>
  <si>
    <t>{"formato": "moneda"}</t>
  </si>
  <si>
    <t>CRIT_05</t>
  </si>
  <si>
    <t>Aplicar estilo visual a encabezados (negrita, relleno y bordes)</t>
  </si>
  <si>
    <t>A1:G1</t>
  </si>
  <si>
    <t>estilo_visual_flexible</t>
  </si>
  <si>
    <t>{"requiere_negrita": true, "requiere_relleno": true, "requiere_bordes": true}</t>
  </si>
  <si>
    <t>CRIT_06</t>
  </si>
  <si>
    <t>Combinar celdas del título principal en hoja Resumen</t>
  </si>
  <si>
    <t>Resumen</t>
  </si>
  <si>
    <t>A1:D1</t>
  </si>
  <si>
    <t>celdas_combinadas</t>
  </si>
  <si>
    <t>{}</t>
  </si>
  <si>
    <t>CRIT_07</t>
  </si>
  <si>
    <t>Configurar lista desplegable de validación en celda B3</t>
  </si>
  <si>
    <t>B3</t>
  </si>
  <si>
    <t>validacion_datos</t>
  </si>
  <si>
    <t>{"tipo": "list"}</t>
  </si>
  <si>
    <t>CRIT_08</t>
  </si>
  <si>
    <t>Verificar existencia de Tabla Dinámica de resumen</t>
  </si>
  <si>
    <t>A10</t>
  </si>
  <si>
    <t>tabla_dinamica</t>
  </si>
  <si>
    <t>{"campos_fila": ["Categoria"], "campos_valor": ["Total"]}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</si>
</sst>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540A]* #,##0.00_ ;_-[$$-540A]* \-#,##0.00\ ;_-[$$-540A]* &quot;-&quot;??_ ;_-@_ "/>
    <numFmt numFmtId="165" formatCode="_-[$$-409]* #,##0.00_ ;_-[$$-409]* \-#,##0.00\ ;_-[$$-409]* &quot;-&quot;??_ ;_-@_ "/>
    <numFmt numFmtId="167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i/>
      <sz val="1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2C5282"/>
        <bgColor rgb="FF2C5282"/>
      </patternFill>
    </fill>
    <fill>
      <patternFill patternType="solid">
        <fgColor rgb="FFF8FAFC"/>
        <bgColor rgb="FFF8FAF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 indent="1"/>
    </xf>
    <xf numFmtId="0" fontId="1" fillId="0" borderId="0" xfId="0" applyFont="1" applyAlignment="1">
      <alignment horizontal="left" indent="1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4" fontId="13" fillId="0" borderId="2" xfId="0" applyNumberFormat="1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14" fontId="13" fillId="0" borderId="4" xfId="0" applyNumberFormat="1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14" fontId="13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13" fillId="0" borderId="0" xfId="0" applyNumberFormat="1" applyFont="1" applyAlignment="1">
      <alignment horizontal="left" vertical="center"/>
    </xf>
    <xf numFmtId="164" fontId="13" fillId="0" borderId="2" xfId="0" applyNumberFormat="1" applyFont="1" applyBorder="1" applyAlignment="1">
      <alignment horizontal="left" vertical="center"/>
    </xf>
    <xf numFmtId="164" fontId="13" fillId="0" borderId="4" xfId="0" applyNumberFormat="1" applyFont="1" applyBorder="1" applyAlignment="1">
      <alignment horizontal="left" vertical="center"/>
    </xf>
    <xf numFmtId="164" fontId="13" fillId="0" borderId="1" xfId="0" applyNumberFormat="1" applyFon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4" fontId="9" fillId="0" borderId="0" xfId="0" applyNumberFormat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164" fontId="9" fillId="0" borderId="0" xfId="0" applyNumberFormat="1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left" vertical="center"/>
    </xf>
    <xf numFmtId="164" fontId="10" fillId="0" borderId="0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0" fontId="12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" fillId="3" borderId="6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left" vertical="center"/>
    </xf>
    <xf numFmtId="167" fontId="0" fillId="4" borderId="6" xfId="0" applyNumberFormat="1" applyFill="1" applyBorder="1" applyAlignment="1">
      <alignment horizontal="right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167" fontId="0" fillId="0" borderId="6" xfId="0" applyNumberFormat="1" applyBorder="1" applyAlignment="1">
      <alignment horizontal="right" vertic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[$$-540A]* #,##0.00_ ;_-[$$-540A]* \-#,##0.00\ ;_-[$$-540A]* &quot;-&quot;??_ ;_-@_ "/>
      <alignment horizontal="left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[$$-540A]* #,##0.00_ ;_-[$$-540A]* \-#,##0.00\ ;_-[$$-540A]* &quot;-&quot;??_ ;_-@_ "/>
      <alignment horizontal="left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_-[$$-540A]* #,##0.00_ ;_-[$$-540A]* \-#,##0.00\ ;_-[$$-540A]* &quot;-&quot;??_ ;_-@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9" formatCode="d/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9" formatCode="d/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[PLANTILLA_TDINAMICA.xlsx]ventas por vendedor!TablaDinámica1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'ventas por vendedor'!$B$3:$B$4</c:f>
              <c:strCache>
                <c:ptCount val="1"/>
                <c:pt idx="0">
                  <c:v>Carmen Vasquez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'ventas por vendedor'!$A$5:$A$10</c:f>
              <c:strCache>
                <c:ptCount val="5"/>
                <c:pt idx="0">
                  <c:v>Tienda A</c:v>
                </c:pt>
                <c:pt idx="1">
                  <c:v>Tienda B</c:v>
                </c:pt>
                <c:pt idx="2">
                  <c:v>Tienda C</c:v>
                </c:pt>
                <c:pt idx="3">
                  <c:v>Tienda D</c:v>
                </c:pt>
                <c:pt idx="4">
                  <c:v>tienda H</c:v>
                </c:pt>
              </c:strCache>
            </c:strRef>
          </c:cat>
          <c:val>
            <c:numRef>
              <c:f>'ventas por vendedor'!$B$5:$B$10</c:f>
              <c:numCache>
                <c:formatCode>_-[$$-409]* #\ ##0.00_ ;_-[$$-409]* \-#\ ##0.00\ ;_-[$$-409]* "-"??_ ;_-@_ </c:formatCode>
                <c:ptCount val="5"/>
                <c:pt idx="0">
                  <c:v>1200</c:v>
                </c:pt>
                <c:pt idx="1">
                  <c:v>2005</c:v>
                </c:pt>
                <c:pt idx="2">
                  <c:v>4000</c:v>
                </c:pt>
                <c:pt idx="3">
                  <c:v>15</c:v>
                </c:pt>
                <c:pt idx="4">
                  <c:v>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8-4756-BC1C-E4677DAE1578}"/>
            </c:ext>
          </c:extLst>
        </c:ser>
        <c:ser>
          <c:idx val="1"/>
          <c:order val="1"/>
          <c:tx>
            <c:strRef>
              <c:f>'ventas por vendedor'!$C$3:$C$4</c:f>
              <c:strCache>
                <c:ptCount val="1"/>
                <c:pt idx="0">
                  <c:v>José Almanares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'ventas por vendedor'!$A$5:$A$10</c:f>
              <c:strCache>
                <c:ptCount val="5"/>
                <c:pt idx="0">
                  <c:v>Tienda A</c:v>
                </c:pt>
                <c:pt idx="1">
                  <c:v>Tienda B</c:v>
                </c:pt>
                <c:pt idx="2">
                  <c:v>Tienda C</c:v>
                </c:pt>
                <c:pt idx="3">
                  <c:v>Tienda D</c:v>
                </c:pt>
                <c:pt idx="4">
                  <c:v>tienda H</c:v>
                </c:pt>
              </c:strCache>
            </c:strRef>
          </c:cat>
          <c:val>
            <c:numRef>
              <c:f>'ventas por vendedor'!$C$5:$C$10</c:f>
              <c:numCache>
                <c:formatCode>_-[$$-409]* #\ ##0.00_ ;_-[$$-409]* \-#\ ##0.00\ ;_-[$$-409]* "-"??_ ;_-@_ </c:formatCode>
                <c:ptCount val="5"/>
                <c:pt idx="0">
                  <c:v>525</c:v>
                </c:pt>
                <c:pt idx="1">
                  <c:v>15</c:v>
                </c:pt>
                <c:pt idx="2">
                  <c:v>215</c:v>
                </c:pt>
                <c:pt idx="3">
                  <c:v>4030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88-4756-BC1C-E4677DAE1578}"/>
            </c:ext>
          </c:extLst>
        </c:ser>
        <c:ser>
          <c:idx val="2"/>
          <c:order val="2"/>
          <c:tx>
            <c:strRef>
              <c:f>'ventas por vendedor'!$D$3:$D$4</c:f>
              <c:strCache>
                <c:ptCount val="1"/>
                <c:pt idx="0">
                  <c:v>Juan Carmen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'ventas por vendedor'!$A$5:$A$10</c:f>
              <c:strCache>
                <c:ptCount val="5"/>
                <c:pt idx="0">
                  <c:v>Tienda A</c:v>
                </c:pt>
                <c:pt idx="1">
                  <c:v>Tienda B</c:v>
                </c:pt>
                <c:pt idx="2">
                  <c:v>Tienda C</c:v>
                </c:pt>
                <c:pt idx="3">
                  <c:v>Tienda D</c:v>
                </c:pt>
                <c:pt idx="4">
                  <c:v>tienda H</c:v>
                </c:pt>
              </c:strCache>
            </c:strRef>
          </c:cat>
          <c:val>
            <c:numRef>
              <c:f>'ventas por vendedor'!$D$5:$D$10</c:f>
              <c:numCache>
                <c:formatCode>_-[$$-409]* #\ ##0.00_ ;_-[$$-409]* \-#\ ##0.00\ ;_-[$$-409]* "-"??_ ;_-@_ </c:formatCode>
                <c:ptCount val="5"/>
                <c:pt idx="0">
                  <c:v>2850</c:v>
                </c:pt>
                <c:pt idx="1">
                  <c:v>200</c:v>
                </c:pt>
                <c:pt idx="2">
                  <c:v>315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88-4756-BC1C-E4677DAE1578}"/>
            </c:ext>
          </c:extLst>
        </c:ser>
        <c:ser>
          <c:idx val="3"/>
          <c:order val="3"/>
          <c:tx>
            <c:strRef>
              <c:f>'ventas por vendedor'!$E$3:$E$4</c:f>
              <c:strCache>
                <c:ptCount val="1"/>
                <c:pt idx="0">
                  <c:v>Pedro Noriega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'ventas por vendedor'!$A$5:$A$10</c:f>
              <c:strCache>
                <c:ptCount val="5"/>
                <c:pt idx="0">
                  <c:v>Tienda A</c:v>
                </c:pt>
                <c:pt idx="1">
                  <c:v>Tienda B</c:v>
                </c:pt>
                <c:pt idx="2">
                  <c:v>Tienda C</c:v>
                </c:pt>
                <c:pt idx="3">
                  <c:v>Tienda D</c:v>
                </c:pt>
                <c:pt idx="4">
                  <c:v>tienda H</c:v>
                </c:pt>
              </c:strCache>
            </c:strRef>
          </c:cat>
          <c:val>
            <c:numRef>
              <c:f>'ventas por vendedor'!$E$5:$E$10</c:f>
              <c:numCache>
                <c:formatCode>_-[$$-409]* #\ ##0.00_ ;_-[$$-409]* \-#\ ##0.00\ ;_-[$$-409]* "-"??_ ;_-@_ </c:formatCode>
                <c:ptCount val="5"/>
                <c:pt idx="0">
                  <c:v>18725</c:v>
                </c:pt>
                <c:pt idx="1">
                  <c:v>3500</c:v>
                </c:pt>
                <c:pt idx="2">
                  <c:v>10</c:v>
                </c:pt>
                <c:pt idx="3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88-4756-BC1C-E4677DAE1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1608656"/>
        <c:axId val="721611568"/>
      </c:barChart>
      <c:catAx>
        <c:axId val="72160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21611568"/>
        <c:crosses val="autoZero"/>
        <c:auto val="1"/>
        <c:lblAlgn val="ctr"/>
        <c:lblOffset val="100"/>
        <c:noMultiLvlLbl val="0"/>
      </c:catAx>
      <c:valAx>
        <c:axId val="72161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2160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[PLANTILLA_TDINAMICA.xlsx]ejercio 3!TablaDinámica5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144247594050742"/>
          <c:y val="0.21194225721784776"/>
          <c:w val="0.59413626421697285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'ejercio 3'!$B$3:$B$4</c:f>
              <c:strCache>
                <c:ptCount val="1"/>
                <c:pt idx="0">
                  <c:v>Carlos Vasquez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'ejercio 3'!$A$5:$A$8</c:f>
              <c:strCache>
                <c:ptCount val="3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</c:strCache>
            </c:strRef>
          </c:cat>
          <c:val>
            <c:numRef>
              <c:f>'ejercio 3'!$B$5:$B$8</c:f>
              <c:numCache>
                <c:formatCode>_-[$$-409]* #\ ##0.00_ ;_-[$$-409]* \-#\ ##0.00\ ;_-[$$-409]* "-"??_ ;_-@_ </c:formatCode>
                <c:ptCount val="3"/>
                <c:pt idx="0">
                  <c:v>4000</c:v>
                </c:pt>
                <c:pt idx="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A-4D1E-8771-11C8971CC6C6}"/>
            </c:ext>
          </c:extLst>
        </c:ser>
        <c:ser>
          <c:idx val="1"/>
          <c:order val="1"/>
          <c:tx>
            <c:strRef>
              <c:f>'ejercio 3'!$C$3:$C$4</c:f>
              <c:strCache>
                <c:ptCount val="1"/>
                <c:pt idx="0">
                  <c:v>José Almanares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'ejercio 3'!$A$5:$A$8</c:f>
              <c:strCache>
                <c:ptCount val="3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</c:strCache>
            </c:strRef>
          </c:cat>
          <c:val>
            <c:numRef>
              <c:f>'ejercio 3'!$C$5:$C$8</c:f>
              <c:numCache>
                <c:formatCode>_-[$$-409]* #\ ##0.00_ ;_-[$$-409]* \-#\ ##0.00\ ;_-[$$-409]* "-"??_ ;_-@_ </c:formatCode>
                <c:ptCount val="3"/>
                <c:pt idx="0">
                  <c:v>4000</c:v>
                </c:pt>
                <c:pt idx="1">
                  <c:v>100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0A-4D1E-8771-11C8971CC6C6}"/>
            </c:ext>
          </c:extLst>
        </c:ser>
        <c:ser>
          <c:idx val="2"/>
          <c:order val="2"/>
          <c:tx>
            <c:strRef>
              <c:f>'ejercio 3'!$D$3:$D$4</c:f>
              <c:strCache>
                <c:ptCount val="1"/>
                <c:pt idx="0">
                  <c:v>Juan Carlos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'ejercio 3'!$A$5:$A$8</c:f>
              <c:strCache>
                <c:ptCount val="3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</c:strCache>
            </c:strRef>
          </c:cat>
          <c:val>
            <c:numRef>
              <c:f>'ejercio 3'!$D$5:$D$8</c:f>
              <c:numCache>
                <c:formatCode>_-[$$-409]* #\ ##0.00_ ;_-[$$-409]* \-#\ ##0.00\ ;_-[$$-409]* "-"??_ ;_-@_ </c:formatCode>
                <c:ptCount val="3"/>
                <c:pt idx="0">
                  <c:v>200</c:v>
                </c:pt>
                <c:pt idx="1">
                  <c:v>100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0A-4D1E-8771-11C8971CC6C6}"/>
            </c:ext>
          </c:extLst>
        </c:ser>
        <c:ser>
          <c:idx val="3"/>
          <c:order val="3"/>
          <c:tx>
            <c:strRef>
              <c:f>'ejercio 3'!$E$3:$E$4</c:f>
              <c:strCache>
                <c:ptCount val="1"/>
                <c:pt idx="0">
                  <c:v>Pedro Noriega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'ejercio 3'!$A$5:$A$8</c:f>
              <c:strCache>
                <c:ptCount val="3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</c:strCache>
            </c:strRef>
          </c:cat>
          <c:val>
            <c:numRef>
              <c:f>'ejercio 3'!$E$5:$E$8</c:f>
              <c:numCache>
                <c:formatCode>_-[$$-409]* #\ ##0.00_ ;_-[$$-409]* \-#\ ##0.00\ ;_-[$$-409]* "-"??_ ;_-@_ </c:formatCode>
                <c:ptCount val="3"/>
                <c:pt idx="0">
                  <c:v>3500</c:v>
                </c:pt>
                <c:pt idx="1">
                  <c:v>4000</c:v>
                </c:pt>
                <c:pt idx="2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0A-4D1E-8771-11C8971CC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1405056"/>
        <c:axId val="820653648"/>
      </c:barChart>
      <c:catAx>
        <c:axId val="64140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820653648"/>
        <c:crosses val="autoZero"/>
        <c:auto val="1"/>
        <c:lblAlgn val="ctr"/>
        <c:lblOffset val="100"/>
        <c:noMultiLvlLbl val="0"/>
      </c:catAx>
      <c:valAx>
        <c:axId val="82065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64140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4</xdr:row>
      <xdr:rowOff>123825</xdr:rowOff>
    </xdr:from>
    <xdr:to>
      <xdr:col>6</xdr:col>
      <xdr:colOff>666750</xdr:colOff>
      <xdr:row>10</xdr:row>
      <xdr:rowOff>114300</xdr:rowOff>
    </xdr:to>
    <xdr:sp macro="" textlink="">
      <xdr:nvSpPr>
        <xdr:cNvPr id="2" name="Cerrar llave 1">
          <a:extLst>
            <a:ext uri="{FF2B5EF4-FFF2-40B4-BE49-F238E27FC236}">
              <a16:creationId xmlns:a16="http://schemas.microsoft.com/office/drawing/2014/main" id="{CAB54FDA-44DA-5364-F947-0091C3C19404}"/>
            </a:ext>
          </a:extLst>
        </xdr:cNvPr>
        <xdr:cNvSpPr/>
      </xdr:nvSpPr>
      <xdr:spPr>
        <a:xfrm>
          <a:off x="4657725" y="1076325"/>
          <a:ext cx="581025" cy="14192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6</xdr:col>
      <xdr:colOff>466725</xdr:colOff>
      <xdr:row>9</xdr:row>
      <xdr:rowOff>38100</xdr:rowOff>
    </xdr:from>
    <xdr:to>
      <xdr:col>7</xdr:col>
      <xdr:colOff>714375</xdr:colOff>
      <xdr:row>11</xdr:row>
      <xdr:rowOff>152400</xdr:rowOff>
    </xdr:to>
    <xdr:sp macro="" textlink="">
      <xdr:nvSpPr>
        <xdr:cNvPr id="3" name="Flecha: curvada hacia la derecha 2">
          <a:extLst>
            <a:ext uri="{FF2B5EF4-FFF2-40B4-BE49-F238E27FC236}">
              <a16:creationId xmlns:a16="http://schemas.microsoft.com/office/drawing/2014/main" id="{CE7C47F6-FD28-4787-F701-9A1CEBE3EDCA}"/>
            </a:ext>
          </a:extLst>
        </xdr:cNvPr>
        <xdr:cNvSpPr/>
      </xdr:nvSpPr>
      <xdr:spPr>
        <a:xfrm rot="11020570">
          <a:off x="5038725" y="2181225"/>
          <a:ext cx="1009650" cy="590550"/>
        </a:xfrm>
        <a:prstGeom prst="curvedRightArrow">
          <a:avLst>
            <a:gd name="adj1" fmla="val 10440"/>
            <a:gd name="adj2" fmla="val 19825"/>
            <a:gd name="adj3" fmla="val 25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238125</xdr:colOff>
      <xdr:row>11</xdr:row>
      <xdr:rowOff>228600</xdr:rowOff>
    </xdr:from>
    <xdr:to>
      <xdr:col>8</xdr:col>
      <xdr:colOff>494982</xdr:colOff>
      <xdr:row>20</xdr:row>
      <xdr:rowOff>161740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21DAE2F8-F93F-A259-87B9-2C78389D4E75}"/>
            </a:ext>
          </a:extLst>
        </xdr:cNvPr>
        <xdr:cNvGrpSpPr/>
      </xdr:nvGrpSpPr>
      <xdr:grpSpPr>
        <a:xfrm>
          <a:off x="3816212" y="2808041"/>
          <a:ext cx="2613851" cy="1755314"/>
          <a:chOff x="3743325" y="2867025"/>
          <a:chExt cx="2542857" cy="1800040"/>
        </a:xfrm>
      </xdr:grpSpPr>
      <xdr:pic>
        <xdr:nvPicPr>
          <xdr:cNvPr id="4" name="Imagen 3">
            <a:extLst>
              <a:ext uri="{FF2B5EF4-FFF2-40B4-BE49-F238E27FC236}">
                <a16:creationId xmlns:a16="http://schemas.microsoft.com/office/drawing/2014/main" id="{428862B7-01FB-81F9-95DA-C1FFC712CD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743325" y="3190875"/>
            <a:ext cx="2542857" cy="1476190"/>
          </a:xfrm>
          <a:prstGeom prst="rect">
            <a:avLst/>
          </a:prstGeom>
          <a:ln w="38100">
            <a:solidFill>
              <a:schemeClr val="accent2"/>
            </a:solidFill>
          </a:ln>
        </xdr:spPr>
      </xdr:pic>
      <xdr:sp macro="" textlink="">
        <xdr:nvSpPr>
          <xdr:cNvPr id="5" name="Rectángulo: esquinas redondeadas 4">
            <a:extLst>
              <a:ext uri="{FF2B5EF4-FFF2-40B4-BE49-F238E27FC236}">
                <a16:creationId xmlns:a16="http://schemas.microsoft.com/office/drawing/2014/main" id="{8688F52B-80A7-4213-AD11-FECDBF10CDC8}"/>
              </a:ext>
            </a:extLst>
          </xdr:cNvPr>
          <xdr:cNvSpPr/>
        </xdr:nvSpPr>
        <xdr:spPr>
          <a:xfrm>
            <a:off x="4981575" y="3200400"/>
            <a:ext cx="714375" cy="276225"/>
          </a:xfrm>
          <a:prstGeom prst="round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/>
          </a:p>
        </xdr:txBody>
      </xdr:sp>
      <xdr:sp macro="" textlink="">
        <xdr:nvSpPr>
          <xdr:cNvPr id="6" name="Rectángulo: esquinas redondeadas 5">
            <a:extLst>
              <a:ext uri="{FF2B5EF4-FFF2-40B4-BE49-F238E27FC236}">
                <a16:creationId xmlns:a16="http://schemas.microsoft.com/office/drawing/2014/main" id="{C6E37D50-EEA3-35AB-2CFB-37819C1C8E63}"/>
              </a:ext>
            </a:extLst>
          </xdr:cNvPr>
          <xdr:cNvSpPr/>
        </xdr:nvSpPr>
        <xdr:spPr>
          <a:xfrm>
            <a:off x="5553075" y="3495675"/>
            <a:ext cx="628650" cy="685800"/>
          </a:xfrm>
          <a:prstGeom prst="round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/>
          </a:p>
        </xdr:txBody>
      </xdr:sp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9CF3256E-348D-0C01-5686-9A9EBAACC315}"/>
              </a:ext>
            </a:extLst>
          </xdr:cNvPr>
          <xdr:cNvSpPr txBox="1"/>
        </xdr:nvSpPr>
        <xdr:spPr>
          <a:xfrm>
            <a:off x="5010150" y="2867025"/>
            <a:ext cx="352425" cy="3524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R" sz="1600" b="1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EAF93FCB-3723-9EF7-F274-21EF98BC2A2F}"/>
              </a:ext>
            </a:extLst>
          </xdr:cNvPr>
          <xdr:cNvSpPr txBox="1"/>
        </xdr:nvSpPr>
        <xdr:spPr>
          <a:xfrm>
            <a:off x="5886450" y="3209925"/>
            <a:ext cx="352425" cy="3524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R" sz="1600" b="1">
                <a:solidFill>
                  <a:srgbClr val="FF0000"/>
                </a:solidFill>
              </a:rPr>
              <a:t>2</a:t>
            </a:r>
          </a:p>
        </xdr:txBody>
      </xdr:sp>
    </xdr:grpSp>
    <xdr:clientData/>
  </xdr:twoCellAnchor>
  <xdr:twoCellAnchor>
    <xdr:from>
      <xdr:col>4</xdr:col>
      <xdr:colOff>114300</xdr:colOff>
      <xdr:row>13</xdr:row>
      <xdr:rowOff>142875</xdr:rowOff>
    </xdr:from>
    <xdr:to>
      <xdr:col>4</xdr:col>
      <xdr:colOff>523875</xdr:colOff>
      <xdr:row>14</xdr:row>
      <xdr:rowOff>152400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E1AFAB9B-DF50-A3C0-7EDC-8EE68CDE80CC}"/>
            </a:ext>
          </a:extLst>
        </xdr:cNvPr>
        <xdr:cNvSpPr/>
      </xdr:nvSpPr>
      <xdr:spPr>
        <a:xfrm>
          <a:off x="3162300" y="3238500"/>
          <a:ext cx="409575" cy="247650"/>
        </a:xfrm>
        <a:prstGeom prst="rightArrow">
          <a:avLst/>
        </a:prstGeom>
        <a:solidFill>
          <a:schemeClr val="accent2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7</xdr:col>
      <xdr:colOff>590550</xdr:colOff>
      <xdr:row>23</xdr:row>
      <xdr:rowOff>95250</xdr:rowOff>
    </xdr:from>
    <xdr:to>
      <xdr:col>8</xdr:col>
      <xdr:colOff>28575</xdr:colOff>
      <xdr:row>25</xdr:row>
      <xdr:rowOff>0</xdr:rowOff>
    </xdr:to>
    <xdr:sp macro="" textlink="">
      <xdr:nvSpPr>
        <xdr:cNvPr id="11" name="Flecha: curvada hacia la izquierda 10">
          <a:extLst>
            <a:ext uri="{FF2B5EF4-FFF2-40B4-BE49-F238E27FC236}">
              <a16:creationId xmlns:a16="http://schemas.microsoft.com/office/drawing/2014/main" id="{1A4DF513-3BB8-DCD5-ED41-2C1E345E8CAC}"/>
            </a:ext>
          </a:extLst>
        </xdr:cNvPr>
        <xdr:cNvSpPr/>
      </xdr:nvSpPr>
      <xdr:spPr>
        <a:xfrm>
          <a:off x="5924550" y="5153025"/>
          <a:ext cx="200025" cy="333375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314325</xdr:colOff>
      <xdr:row>25</xdr:row>
      <xdr:rowOff>85725</xdr:rowOff>
    </xdr:from>
    <xdr:to>
      <xdr:col>11</xdr:col>
      <xdr:colOff>124649</xdr:colOff>
      <xdr:row>33</xdr:row>
      <xdr:rowOff>104990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5CA36D05-26B2-C26D-FCA1-DC61DA96F66E}"/>
            </a:ext>
          </a:extLst>
        </xdr:cNvPr>
        <xdr:cNvGrpSpPr/>
      </xdr:nvGrpSpPr>
      <xdr:grpSpPr>
        <a:xfrm>
          <a:off x="2321082" y="5457588"/>
          <a:ext cx="6095642" cy="1495936"/>
          <a:chOff x="2286000" y="5524500"/>
          <a:chExt cx="5906324" cy="1543265"/>
        </a:xfrm>
      </xdr:grpSpPr>
      <xdr:pic>
        <xdr:nvPicPr>
          <xdr:cNvPr id="10" name="Imagen 9">
            <a:extLst>
              <a:ext uri="{FF2B5EF4-FFF2-40B4-BE49-F238E27FC236}">
                <a16:creationId xmlns:a16="http://schemas.microsoft.com/office/drawing/2014/main" id="{719AC93A-3E36-E051-1B41-BC19B6A5DC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286000" y="5524500"/>
            <a:ext cx="5906324" cy="1543265"/>
          </a:xfrm>
          <a:prstGeom prst="rect">
            <a:avLst/>
          </a:prstGeom>
          <a:ln>
            <a:solidFill>
              <a:srgbClr val="FF0000"/>
            </a:solidFill>
          </a:ln>
        </xdr:spPr>
      </xdr:pic>
      <xdr:sp macro="" textlink="">
        <xdr:nvSpPr>
          <xdr:cNvPr id="14" name="Rectángulo: esquinas redondeadas 13">
            <a:extLst>
              <a:ext uri="{FF2B5EF4-FFF2-40B4-BE49-F238E27FC236}">
                <a16:creationId xmlns:a16="http://schemas.microsoft.com/office/drawing/2014/main" id="{D8E13984-1EDB-6BFD-C088-D63E03A288F1}"/>
              </a:ext>
            </a:extLst>
          </xdr:cNvPr>
          <xdr:cNvSpPr/>
        </xdr:nvSpPr>
        <xdr:spPr>
          <a:xfrm>
            <a:off x="5562600" y="6143625"/>
            <a:ext cx="1057275" cy="314325"/>
          </a:xfrm>
          <a:prstGeom prst="round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/>
          </a:p>
        </xdr:txBody>
      </xdr:sp>
      <xdr:sp macro="" textlink="">
        <xdr:nvSpPr>
          <xdr:cNvPr id="15" name="Flecha: hacia la izquierda 14">
            <a:extLst>
              <a:ext uri="{FF2B5EF4-FFF2-40B4-BE49-F238E27FC236}">
                <a16:creationId xmlns:a16="http://schemas.microsoft.com/office/drawing/2014/main" id="{39CA4241-C85E-0546-2248-B8346C5936E4}"/>
              </a:ext>
            </a:extLst>
          </xdr:cNvPr>
          <xdr:cNvSpPr/>
        </xdr:nvSpPr>
        <xdr:spPr>
          <a:xfrm>
            <a:off x="5314950" y="6162675"/>
            <a:ext cx="257175" cy="171450"/>
          </a:xfrm>
          <a:prstGeom prst="leftArrow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/>
          </a:p>
        </xdr:txBody>
      </xdr:sp>
    </xdr:grpSp>
    <xdr:clientData/>
  </xdr:twoCellAnchor>
  <xdr:twoCellAnchor editAs="oneCell">
    <xdr:from>
      <xdr:col>2</xdr:col>
      <xdr:colOff>552449</xdr:colOff>
      <xdr:row>38</xdr:row>
      <xdr:rowOff>133350</xdr:rowOff>
    </xdr:from>
    <xdr:to>
      <xdr:col>8</xdr:col>
      <xdr:colOff>65672</xdr:colOff>
      <xdr:row>47</xdr:row>
      <xdr:rowOff>76200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BDAFFA22-358C-5884-655E-AC772A582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76449" y="8143875"/>
          <a:ext cx="4085223" cy="1657350"/>
        </a:xfrm>
        <a:prstGeom prst="rect">
          <a:avLst/>
        </a:prstGeom>
      </xdr:spPr>
    </xdr:pic>
    <xdr:clientData/>
  </xdr:twoCellAnchor>
  <xdr:twoCellAnchor>
    <xdr:from>
      <xdr:col>5</xdr:col>
      <xdr:colOff>195427</xdr:colOff>
      <xdr:row>54</xdr:row>
      <xdr:rowOff>180975</xdr:rowOff>
    </xdr:from>
    <xdr:to>
      <xdr:col>17</xdr:col>
      <xdr:colOff>344473</xdr:colOff>
      <xdr:row>88</xdr:row>
      <xdr:rowOff>28574</xdr:rowOff>
    </xdr:to>
    <xdr:grpSp>
      <xdr:nvGrpSpPr>
        <xdr:cNvPr id="24" name="Grupo 23">
          <a:extLst>
            <a:ext uri="{FF2B5EF4-FFF2-40B4-BE49-F238E27FC236}">
              <a16:creationId xmlns:a16="http://schemas.microsoft.com/office/drawing/2014/main" id="{E9A5EAD9-EAD3-DF6B-324F-42016DF8E8BD}"/>
            </a:ext>
          </a:extLst>
        </xdr:cNvPr>
        <xdr:cNvGrpSpPr/>
      </xdr:nvGrpSpPr>
      <xdr:grpSpPr>
        <a:xfrm>
          <a:off x="3773514" y="10953099"/>
          <a:ext cx="9577021" cy="6123450"/>
          <a:chOff x="4024477" y="11201400"/>
          <a:chExt cx="9293046" cy="6324599"/>
        </a:xfrm>
      </xdr:grpSpPr>
      <xdr:grpSp>
        <xdr:nvGrpSpPr>
          <xdr:cNvPr id="23" name="Grupo 22">
            <a:extLst>
              <a:ext uri="{FF2B5EF4-FFF2-40B4-BE49-F238E27FC236}">
                <a16:creationId xmlns:a16="http://schemas.microsoft.com/office/drawing/2014/main" id="{D2152E80-E949-28B7-E4BA-B4106CEB8484}"/>
              </a:ext>
            </a:extLst>
          </xdr:cNvPr>
          <xdr:cNvGrpSpPr/>
        </xdr:nvGrpSpPr>
        <xdr:grpSpPr>
          <a:xfrm>
            <a:off x="4024477" y="11201400"/>
            <a:ext cx="9293046" cy="6324599"/>
            <a:chOff x="4072102" y="11191875"/>
            <a:chExt cx="9293046" cy="6324599"/>
          </a:xfrm>
        </xdr:grpSpPr>
        <xdr:pic>
          <xdr:nvPicPr>
            <xdr:cNvPr id="19" name="Imagen 18">
              <a:extLst>
                <a:ext uri="{FF2B5EF4-FFF2-40B4-BE49-F238E27FC236}">
                  <a16:creationId xmlns:a16="http://schemas.microsoft.com/office/drawing/2014/main" id="{C3A09023-4E5F-827B-C96F-99BA10004A4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072102" y="11210925"/>
              <a:ext cx="9293046" cy="6135138"/>
            </a:xfrm>
            <a:prstGeom prst="rect">
              <a:avLst/>
            </a:prstGeom>
          </xdr:spPr>
        </xdr:pic>
        <xdr:sp macro="" textlink="">
          <xdr:nvSpPr>
            <xdr:cNvPr id="20" name="Rectángulo: esquinas redondeadas 19">
              <a:extLst>
                <a:ext uri="{FF2B5EF4-FFF2-40B4-BE49-F238E27FC236}">
                  <a16:creationId xmlns:a16="http://schemas.microsoft.com/office/drawing/2014/main" id="{6CC8D52E-9F14-4F71-E179-876682BB83EF}"/>
                </a:ext>
              </a:extLst>
            </xdr:cNvPr>
            <xdr:cNvSpPr/>
          </xdr:nvSpPr>
          <xdr:spPr>
            <a:xfrm>
              <a:off x="4143375" y="11191875"/>
              <a:ext cx="1333500" cy="685800"/>
            </a:xfrm>
            <a:prstGeom prst="roundRect">
              <a:avLst/>
            </a:prstGeom>
            <a:noFill/>
            <a:ln w="762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R" sz="1100"/>
            </a:p>
          </xdr:txBody>
        </xdr:sp>
        <xdr:sp macro="" textlink="">
          <xdr:nvSpPr>
            <xdr:cNvPr id="21" name="Rectángulo: esquinas redondeadas 20">
              <a:extLst>
                <a:ext uri="{FF2B5EF4-FFF2-40B4-BE49-F238E27FC236}">
                  <a16:creationId xmlns:a16="http://schemas.microsoft.com/office/drawing/2014/main" id="{1F03E3E9-31A6-B113-BC1B-4A00B98DC848}"/>
                </a:ext>
              </a:extLst>
            </xdr:cNvPr>
            <xdr:cNvSpPr/>
          </xdr:nvSpPr>
          <xdr:spPr>
            <a:xfrm>
              <a:off x="9277350" y="11791949"/>
              <a:ext cx="4076700" cy="5724525"/>
            </a:xfrm>
            <a:prstGeom prst="roundRect">
              <a:avLst/>
            </a:prstGeom>
            <a:noFill/>
            <a:ln w="762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R" sz="1100"/>
            </a:p>
          </xdr:txBody>
        </xdr:sp>
      </xdr:grpSp>
      <xdr:pic>
        <xdr:nvPicPr>
          <xdr:cNvPr id="22" name="Imagen 21">
            <a:extLst>
              <a:ext uri="{FF2B5EF4-FFF2-40B4-BE49-F238E27FC236}">
                <a16:creationId xmlns:a16="http://schemas.microsoft.com/office/drawing/2014/main" id="{FBDABE85-4D1C-E6A7-09C4-573A7A43F3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229099" y="14097000"/>
            <a:ext cx="4085223" cy="1657350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634998</xdr:colOff>
      <xdr:row>68</xdr:row>
      <xdr:rowOff>31750</xdr:rowOff>
    </xdr:from>
    <xdr:to>
      <xdr:col>4</xdr:col>
      <xdr:colOff>672807</xdr:colOff>
      <xdr:row>74</xdr:row>
      <xdr:rowOff>3036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8A3D14A-D5E0-E5BA-7DE5-C31B2D1CD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96998" y="13843000"/>
          <a:ext cx="2323809" cy="1114286"/>
        </a:xfrm>
        <a:prstGeom prst="rect">
          <a:avLst/>
        </a:prstGeom>
      </xdr:spPr>
    </xdr:pic>
    <xdr:clientData/>
  </xdr:twoCellAnchor>
  <xdr:twoCellAnchor>
    <xdr:from>
      <xdr:col>2</xdr:col>
      <xdr:colOff>158751</xdr:colOff>
      <xdr:row>62</xdr:row>
      <xdr:rowOff>63500</xdr:rowOff>
    </xdr:from>
    <xdr:to>
      <xdr:col>4</xdr:col>
      <xdr:colOff>433917</xdr:colOff>
      <xdr:row>65</xdr:row>
      <xdr:rowOff>95250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CF05DB20-6A17-D2CE-FFAB-538FCB64C90D}"/>
            </a:ext>
          </a:extLst>
        </xdr:cNvPr>
        <xdr:cNvSpPr txBox="1"/>
      </xdr:nvSpPr>
      <xdr:spPr>
        <a:xfrm>
          <a:off x="1682751" y="12731750"/>
          <a:ext cx="1799166" cy="603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R" sz="1100"/>
            <a:t>EN</a:t>
          </a:r>
          <a:r>
            <a:rPr lang="es-CR" sz="1100" baseline="0"/>
            <a:t> EL DISEÑO DE TABLA SE PUEDE CAMBIAR EL NOMBRE DE LA TABLA</a:t>
          </a:r>
          <a:endParaRPr lang="es-CR" sz="1100"/>
        </a:p>
      </xdr:txBody>
    </xdr:sp>
    <xdr:clientData/>
  </xdr:twoCellAnchor>
  <xdr:twoCellAnchor>
    <xdr:from>
      <xdr:col>2</xdr:col>
      <xdr:colOff>719667</xdr:colOff>
      <xdr:row>65</xdr:row>
      <xdr:rowOff>95250</xdr:rowOff>
    </xdr:from>
    <xdr:to>
      <xdr:col>3</xdr:col>
      <xdr:colOff>169333</xdr:colOff>
      <xdr:row>68</xdr:row>
      <xdr:rowOff>74083</xdr:rowOff>
    </xdr:to>
    <xdr:sp macro="" textlink="">
      <xdr:nvSpPr>
        <xdr:cNvPr id="27" name="Flecha: hacia abajo 26">
          <a:extLst>
            <a:ext uri="{FF2B5EF4-FFF2-40B4-BE49-F238E27FC236}">
              <a16:creationId xmlns:a16="http://schemas.microsoft.com/office/drawing/2014/main" id="{824B8474-F62B-6229-017A-283C21204E10}"/>
            </a:ext>
          </a:extLst>
        </xdr:cNvPr>
        <xdr:cNvSpPr/>
      </xdr:nvSpPr>
      <xdr:spPr>
        <a:xfrm>
          <a:off x="2243667" y="13335000"/>
          <a:ext cx="211666" cy="550333"/>
        </a:xfrm>
        <a:prstGeom prst="downArrow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 editAs="oneCell">
    <xdr:from>
      <xdr:col>3</xdr:col>
      <xdr:colOff>84667</xdr:colOff>
      <xdr:row>102</xdr:row>
      <xdr:rowOff>52916</xdr:rowOff>
    </xdr:from>
    <xdr:to>
      <xdr:col>6</xdr:col>
      <xdr:colOff>408191</xdr:colOff>
      <xdr:row>110</xdr:row>
      <xdr:rowOff>119392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F0710232-7635-6383-3806-495EC5E20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70667" y="20404666"/>
          <a:ext cx="2609524" cy="1590476"/>
        </a:xfrm>
        <a:prstGeom prst="rect">
          <a:avLst/>
        </a:prstGeom>
        <a:ln w="57150">
          <a:solidFill>
            <a:srgbClr val="FF0000"/>
          </a:solidFill>
        </a:ln>
      </xdr:spPr>
    </xdr:pic>
    <xdr:clientData/>
  </xdr:twoCellAnchor>
  <xdr:twoCellAnchor editAs="oneCell">
    <xdr:from>
      <xdr:col>3</xdr:col>
      <xdr:colOff>465667</xdr:colOff>
      <xdr:row>111</xdr:row>
      <xdr:rowOff>137583</xdr:rowOff>
    </xdr:from>
    <xdr:to>
      <xdr:col>8</xdr:col>
      <xdr:colOff>523357</xdr:colOff>
      <xdr:row>127</xdr:row>
      <xdr:rowOff>138008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88FBA00B-8C9B-848E-1F65-BF0D3CBCF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51667" y="22203833"/>
          <a:ext cx="3867690" cy="3048425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>
    <xdr:from>
      <xdr:col>3</xdr:col>
      <xdr:colOff>105833</xdr:colOff>
      <xdr:row>104</xdr:row>
      <xdr:rowOff>52917</xdr:rowOff>
    </xdr:from>
    <xdr:to>
      <xdr:col>4</xdr:col>
      <xdr:colOff>127000</xdr:colOff>
      <xdr:row>109</xdr:row>
      <xdr:rowOff>63500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0B9CA9AE-EDFA-EAA3-331A-F0150780216B}"/>
            </a:ext>
          </a:extLst>
        </xdr:cNvPr>
        <xdr:cNvSpPr/>
      </xdr:nvSpPr>
      <xdr:spPr>
        <a:xfrm>
          <a:off x="2391833" y="20785667"/>
          <a:ext cx="783167" cy="963083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4</xdr:col>
      <xdr:colOff>476250</xdr:colOff>
      <xdr:row>102</xdr:row>
      <xdr:rowOff>21168</xdr:rowOff>
    </xdr:from>
    <xdr:to>
      <xdr:col>5</xdr:col>
      <xdr:colOff>677333</xdr:colOff>
      <xdr:row>104</xdr:row>
      <xdr:rowOff>74084</xdr:rowOff>
    </xdr:to>
    <xdr:sp macro="" textlink="">
      <xdr:nvSpPr>
        <xdr:cNvPr id="31" name="Rectángulo: esquinas redondeadas 30">
          <a:extLst>
            <a:ext uri="{FF2B5EF4-FFF2-40B4-BE49-F238E27FC236}">
              <a16:creationId xmlns:a16="http://schemas.microsoft.com/office/drawing/2014/main" id="{AB31C625-FC9D-3A51-AC4F-AAD4E8A67114}"/>
            </a:ext>
          </a:extLst>
        </xdr:cNvPr>
        <xdr:cNvSpPr/>
      </xdr:nvSpPr>
      <xdr:spPr>
        <a:xfrm>
          <a:off x="3524250" y="20372918"/>
          <a:ext cx="963083" cy="433916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2</xdr:col>
      <xdr:colOff>719667</xdr:colOff>
      <xdr:row>108</xdr:row>
      <xdr:rowOff>127000</xdr:rowOff>
    </xdr:from>
    <xdr:to>
      <xdr:col>3</xdr:col>
      <xdr:colOff>381000</xdr:colOff>
      <xdr:row>117</xdr:row>
      <xdr:rowOff>148167</xdr:rowOff>
    </xdr:to>
    <xdr:sp macro="" textlink="">
      <xdr:nvSpPr>
        <xdr:cNvPr id="32" name="Flecha: curvada hacia la derecha 31">
          <a:extLst>
            <a:ext uri="{FF2B5EF4-FFF2-40B4-BE49-F238E27FC236}">
              <a16:creationId xmlns:a16="http://schemas.microsoft.com/office/drawing/2014/main" id="{AAFB7D76-185E-A162-207D-1DEC6ACC0E11}"/>
            </a:ext>
          </a:extLst>
        </xdr:cNvPr>
        <xdr:cNvSpPr/>
      </xdr:nvSpPr>
      <xdr:spPr>
        <a:xfrm>
          <a:off x="2243667" y="21621750"/>
          <a:ext cx="423333" cy="1735667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296333</xdr:colOff>
      <xdr:row>128</xdr:row>
      <xdr:rowOff>95249</xdr:rowOff>
    </xdr:from>
    <xdr:to>
      <xdr:col>10</xdr:col>
      <xdr:colOff>0</xdr:colOff>
      <xdr:row>130</xdr:row>
      <xdr:rowOff>148166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533F7AD9-B6E0-6BAA-185D-06E6B2702043}"/>
            </a:ext>
          </a:extLst>
        </xdr:cNvPr>
        <xdr:cNvSpPr txBox="1"/>
      </xdr:nvSpPr>
      <xdr:spPr>
        <a:xfrm>
          <a:off x="5630333" y="25399999"/>
          <a:ext cx="1989667" cy="433917"/>
        </a:xfrm>
        <a:prstGeom prst="rect">
          <a:avLst/>
        </a:prstGeom>
        <a:solidFill>
          <a:schemeClr val="bg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R" sz="1100"/>
            <a:t>Dar</a:t>
          </a:r>
          <a:r>
            <a:rPr lang="es-CR" sz="1100" baseline="0"/>
            <a:t> Clic en Aceptar</a:t>
          </a:r>
          <a:endParaRPr lang="es-CR" sz="1100"/>
        </a:p>
      </xdr:txBody>
    </xdr:sp>
    <xdr:clientData/>
  </xdr:twoCellAnchor>
  <xdr:twoCellAnchor>
    <xdr:from>
      <xdr:col>9</xdr:col>
      <xdr:colOff>42334</xdr:colOff>
      <xdr:row>114</xdr:row>
      <xdr:rowOff>84666</xdr:rowOff>
    </xdr:from>
    <xdr:to>
      <xdr:col>11</xdr:col>
      <xdr:colOff>613834</xdr:colOff>
      <xdr:row>116</xdr:row>
      <xdr:rowOff>137583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D7CB865A-0C9E-7D5D-CDCC-533CC7801704}"/>
            </a:ext>
          </a:extLst>
        </xdr:cNvPr>
        <xdr:cNvSpPr txBox="1"/>
      </xdr:nvSpPr>
      <xdr:spPr>
        <a:xfrm>
          <a:off x="6900334" y="22722416"/>
          <a:ext cx="2095500" cy="433917"/>
        </a:xfrm>
        <a:prstGeom prst="rect">
          <a:avLst/>
        </a:prstGeom>
        <a:solidFill>
          <a:schemeClr val="bg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R" sz="1100"/>
            <a:t>Seleccionar</a:t>
          </a:r>
          <a:r>
            <a:rPr lang="es-CR" sz="1100" baseline="0"/>
            <a:t> la Tabla o Rango</a:t>
          </a:r>
          <a:endParaRPr lang="es-CR" sz="1100"/>
        </a:p>
      </xdr:txBody>
    </xdr:sp>
    <xdr:clientData/>
  </xdr:twoCellAnchor>
  <xdr:twoCellAnchor>
    <xdr:from>
      <xdr:col>8</xdr:col>
      <xdr:colOff>465667</xdr:colOff>
      <xdr:row>114</xdr:row>
      <xdr:rowOff>169333</xdr:rowOff>
    </xdr:from>
    <xdr:to>
      <xdr:col>8</xdr:col>
      <xdr:colOff>740833</xdr:colOff>
      <xdr:row>115</xdr:row>
      <xdr:rowOff>179917</xdr:rowOff>
    </xdr:to>
    <xdr:sp macro="" textlink="">
      <xdr:nvSpPr>
        <xdr:cNvPr id="35" name="Flecha: a la derecha 34">
          <a:extLst>
            <a:ext uri="{FF2B5EF4-FFF2-40B4-BE49-F238E27FC236}">
              <a16:creationId xmlns:a16="http://schemas.microsoft.com/office/drawing/2014/main" id="{BB61F721-8AC4-9D91-50D3-917F68FA371C}"/>
            </a:ext>
          </a:extLst>
        </xdr:cNvPr>
        <xdr:cNvSpPr/>
      </xdr:nvSpPr>
      <xdr:spPr>
        <a:xfrm>
          <a:off x="6561667" y="22807083"/>
          <a:ext cx="275166" cy="20108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6</xdr:col>
      <xdr:colOff>476250</xdr:colOff>
      <xdr:row>127</xdr:row>
      <xdr:rowOff>31750</xdr:rowOff>
    </xdr:from>
    <xdr:to>
      <xdr:col>7</xdr:col>
      <xdr:colOff>254000</xdr:colOff>
      <xdr:row>128</xdr:row>
      <xdr:rowOff>158750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FCC22CFB-7730-D15A-7C77-21C016ECE1CA}"/>
            </a:ext>
          </a:extLst>
        </xdr:cNvPr>
        <xdr:cNvCxnSpPr/>
      </xdr:nvCxnSpPr>
      <xdr:spPr>
        <a:xfrm>
          <a:off x="5048250" y="25146000"/>
          <a:ext cx="539750" cy="3175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640885</xdr:colOff>
      <xdr:row>137</xdr:row>
      <xdr:rowOff>158751</xdr:rowOff>
    </xdr:from>
    <xdr:to>
      <xdr:col>7</xdr:col>
      <xdr:colOff>652536</xdr:colOff>
      <xdr:row>156</xdr:row>
      <xdr:rowOff>174084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7A057642-6B92-6BC8-4284-F082F4C4D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26885" y="27230918"/>
          <a:ext cx="3059651" cy="3634833"/>
        </a:xfrm>
        <a:prstGeom prst="rect">
          <a:avLst/>
        </a:prstGeom>
        <a:ln w="28575">
          <a:solidFill>
            <a:srgbClr val="FF0000"/>
          </a:solidFill>
        </a:ln>
      </xdr:spPr>
    </xdr:pic>
    <xdr:clientData/>
  </xdr:twoCellAnchor>
  <xdr:twoCellAnchor editAs="oneCell">
    <xdr:from>
      <xdr:col>10</xdr:col>
      <xdr:colOff>253999</xdr:colOff>
      <xdr:row>137</xdr:row>
      <xdr:rowOff>116416</xdr:rowOff>
    </xdr:from>
    <xdr:to>
      <xdr:col>16</xdr:col>
      <xdr:colOff>137582</xdr:colOff>
      <xdr:row>176</xdr:row>
      <xdr:rowOff>31716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9722CDE7-7847-1C2B-2780-9AA57679B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73999" y="27188583"/>
          <a:ext cx="4455583" cy="7344800"/>
        </a:xfrm>
        <a:prstGeom prst="rect">
          <a:avLst/>
        </a:prstGeom>
        <a:ln w="28575">
          <a:solidFill>
            <a:srgbClr val="FF0000"/>
          </a:solidFill>
        </a:ln>
      </xdr:spPr>
    </xdr:pic>
    <xdr:clientData/>
  </xdr:twoCellAnchor>
  <xdr:twoCellAnchor>
    <xdr:from>
      <xdr:col>7</xdr:col>
      <xdr:colOff>529167</xdr:colOff>
      <xdr:row>147</xdr:row>
      <xdr:rowOff>190499</xdr:rowOff>
    </xdr:from>
    <xdr:to>
      <xdr:col>10</xdr:col>
      <xdr:colOff>137583</xdr:colOff>
      <xdr:row>150</xdr:row>
      <xdr:rowOff>137583</xdr:rowOff>
    </xdr:to>
    <xdr:sp macro="" textlink="">
      <xdr:nvSpPr>
        <xdr:cNvPr id="40" name="Flecha: a la derecha 39">
          <a:extLst>
            <a:ext uri="{FF2B5EF4-FFF2-40B4-BE49-F238E27FC236}">
              <a16:creationId xmlns:a16="http://schemas.microsoft.com/office/drawing/2014/main" id="{49F86A30-FEF0-2B9D-E63E-24A5B0A9C873}"/>
            </a:ext>
          </a:extLst>
        </xdr:cNvPr>
        <xdr:cNvSpPr/>
      </xdr:nvSpPr>
      <xdr:spPr>
        <a:xfrm>
          <a:off x="5863167" y="29167666"/>
          <a:ext cx="1894416" cy="51858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100"/>
            <a:t>DERECHA</a:t>
          </a:r>
          <a:r>
            <a:rPr lang="es-CR" sz="1100" baseline="0"/>
            <a:t> DE LA HOJA</a:t>
          </a:r>
          <a:endParaRPr lang="es-CR" sz="1100"/>
        </a:p>
      </xdr:txBody>
    </xdr:sp>
    <xdr:clientData/>
  </xdr:twoCellAnchor>
  <xdr:twoCellAnchor>
    <xdr:from>
      <xdr:col>6</xdr:col>
      <xdr:colOff>687916</xdr:colOff>
      <xdr:row>179</xdr:row>
      <xdr:rowOff>100230</xdr:rowOff>
    </xdr:from>
    <xdr:to>
      <xdr:col>20</xdr:col>
      <xdr:colOff>592046</xdr:colOff>
      <xdr:row>212</xdr:row>
      <xdr:rowOff>177987</xdr:rowOff>
    </xdr:to>
    <xdr:grpSp>
      <xdr:nvGrpSpPr>
        <xdr:cNvPr id="63" name="Grupo 62">
          <a:extLst>
            <a:ext uri="{FF2B5EF4-FFF2-40B4-BE49-F238E27FC236}">
              <a16:creationId xmlns:a16="http://schemas.microsoft.com/office/drawing/2014/main" id="{70848710-92DC-CA65-5AAC-30B6F06C80AF}"/>
            </a:ext>
          </a:extLst>
        </xdr:cNvPr>
        <xdr:cNvGrpSpPr/>
      </xdr:nvGrpSpPr>
      <xdr:grpSpPr>
        <a:xfrm>
          <a:off x="5051667" y="34106255"/>
          <a:ext cx="10903435" cy="6169024"/>
          <a:chOff x="4857750" y="35300396"/>
          <a:chExt cx="10572130" cy="6364257"/>
        </a:xfrm>
      </xdr:grpSpPr>
      <xdr:grpSp>
        <xdr:nvGrpSpPr>
          <xdr:cNvPr id="51" name="Grupo 50">
            <a:extLst>
              <a:ext uri="{FF2B5EF4-FFF2-40B4-BE49-F238E27FC236}">
                <a16:creationId xmlns:a16="http://schemas.microsoft.com/office/drawing/2014/main" id="{4A8C2C24-6D86-5316-39C0-E975CFDF26D7}"/>
              </a:ext>
            </a:extLst>
          </xdr:cNvPr>
          <xdr:cNvGrpSpPr/>
        </xdr:nvGrpSpPr>
        <xdr:grpSpPr>
          <a:xfrm>
            <a:off x="4857750" y="35300396"/>
            <a:ext cx="4688417" cy="6364257"/>
            <a:chOff x="4826000" y="35427396"/>
            <a:chExt cx="4688417" cy="6364257"/>
          </a:xfrm>
        </xdr:grpSpPr>
        <xdr:pic>
          <xdr:nvPicPr>
            <xdr:cNvPr id="41" name="Imagen 40">
              <a:extLst>
                <a:ext uri="{FF2B5EF4-FFF2-40B4-BE49-F238E27FC236}">
                  <a16:creationId xmlns:a16="http://schemas.microsoft.com/office/drawing/2014/main" id="{003B3186-BF8D-7CC7-F25D-17C846AC298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556250" y="35427396"/>
              <a:ext cx="3958167" cy="6364257"/>
            </a:xfrm>
            <a:prstGeom prst="rect">
              <a:avLst/>
            </a:prstGeom>
            <a:ln>
              <a:solidFill>
                <a:srgbClr val="FF0000"/>
              </a:solidFill>
            </a:ln>
          </xdr:spPr>
        </xdr:pic>
        <xdr:sp macro="" textlink="">
          <xdr:nvSpPr>
            <xdr:cNvPr id="47" name="Flecha: curvada hacia la derecha 46">
              <a:extLst>
                <a:ext uri="{FF2B5EF4-FFF2-40B4-BE49-F238E27FC236}">
                  <a16:creationId xmlns:a16="http://schemas.microsoft.com/office/drawing/2014/main" id="{0B38C52A-D6F8-9AF4-B2CB-FD515786EEB8}"/>
                </a:ext>
              </a:extLst>
            </xdr:cNvPr>
            <xdr:cNvSpPr/>
          </xdr:nvSpPr>
          <xdr:spPr>
            <a:xfrm>
              <a:off x="4826000" y="36491333"/>
              <a:ext cx="793750" cy="4127500"/>
            </a:xfrm>
            <a:prstGeom prst="curvedRightArrow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R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8" name="Flecha: curvada hacia la derecha 47">
              <a:extLst>
                <a:ext uri="{FF2B5EF4-FFF2-40B4-BE49-F238E27FC236}">
                  <a16:creationId xmlns:a16="http://schemas.microsoft.com/office/drawing/2014/main" id="{7860C1C8-0EB6-D257-B1BB-2BA0E2CB3B0E}"/>
                </a:ext>
              </a:extLst>
            </xdr:cNvPr>
            <xdr:cNvSpPr/>
          </xdr:nvSpPr>
          <xdr:spPr>
            <a:xfrm rot="19707802" flipH="1">
              <a:off x="7154333" y="36618334"/>
              <a:ext cx="1047749" cy="2391834"/>
            </a:xfrm>
            <a:prstGeom prst="curvedRightArrow">
              <a:avLst>
                <a:gd name="adj1" fmla="val 6423"/>
                <a:gd name="adj2" fmla="val 38857"/>
                <a:gd name="adj3" fmla="val 25000"/>
              </a:avLst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R" sz="1100">
                <a:solidFill>
                  <a:schemeClr val="tx1"/>
                </a:solidFill>
              </a:endParaRPr>
            </a:p>
          </xdr:txBody>
        </xdr:sp>
        <xdr:cxnSp macro="">
          <xdr:nvCxnSpPr>
            <xdr:cNvPr id="50" name="Conector recto de flecha 49">
              <a:extLst>
                <a:ext uri="{FF2B5EF4-FFF2-40B4-BE49-F238E27FC236}">
                  <a16:creationId xmlns:a16="http://schemas.microsoft.com/office/drawing/2014/main" id="{AC0B07FD-9C3F-C193-84D5-85D6AB358FF3}"/>
                </a:ext>
              </a:extLst>
            </xdr:cNvPr>
            <xdr:cNvCxnSpPr/>
          </xdr:nvCxnSpPr>
          <xdr:spPr>
            <a:xfrm>
              <a:off x="6074833" y="37327417"/>
              <a:ext cx="1703917" cy="3143250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pic>
        <xdr:nvPicPr>
          <xdr:cNvPr id="52" name="Imagen 51">
            <a:extLst>
              <a:ext uri="{FF2B5EF4-FFF2-40B4-BE49-F238E27FC236}">
                <a16:creationId xmlns:a16="http://schemas.microsoft.com/office/drawing/2014/main" id="{7D74BDA7-5A3F-56DC-3BE7-92D56C411D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477499" y="38967834"/>
            <a:ext cx="4952381" cy="2219048"/>
          </a:xfrm>
          <a:prstGeom prst="rect">
            <a:avLst/>
          </a:prstGeom>
        </xdr:spPr>
      </xdr:pic>
      <xdr:sp macro="" textlink="">
        <xdr:nvSpPr>
          <xdr:cNvPr id="53" name="Flecha: curvada hacia la izquierda 52">
            <a:extLst>
              <a:ext uri="{FF2B5EF4-FFF2-40B4-BE49-F238E27FC236}">
                <a16:creationId xmlns:a16="http://schemas.microsoft.com/office/drawing/2014/main" id="{5F8E0856-D6AB-A087-3093-2A575156F10F}"/>
              </a:ext>
            </a:extLst>
          </xdr:cNvPr>
          <xdr:cNvSpPr/>
        </xdr:nvSpPr>
        <xdr:spPr>
          <a:xfrm rot="18537607">
            <a:off x="10022416" y="36808835"/>
            <a:ext cx="952500" cy="2286000"/>
          </a:xfrm>
          <a:prstGeom prst="curvedLeftArrow">
            <a:avLst>
              <a:gd name="adj1" fmla="val 25000"/>
              <a:gd name="adj2" fmla="val 37680"/>
              <a:gd name="adj3" fmla="val 25000"/>
            </a:avLst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5</xdr:col>
      <xdr:colOff>158748</xdr:colOff>
      <xdr:row>221</xdr:row>
      <xdr:rowOff>86373</xdr:rowOff>
    </xdr:from>
    <xdr:to>
      <xdr:col>9</xdr:col>
      <xdr:colOff>9977</xdr:colOff>
      <xdr:row>238</xdr:row>
      <xdr:rowOff>112695</xdr:rowOff>
    </xdr:to>
    <xdr:grpSp>
      <xdr:nvGrpSpPr>
        <xdr:cNvPr id="59" name="Grupo 58">
          <a:extLst>
            <a:ext uri="{FF2B5EF4-FFF2-40B4-BE49-F238E27FC236}">
              <a16:creationId xmlns:a16="http://schemas.microsoft.com/office/drawing/2014/main" id="{DCA51D6D-AA5D-B88A-A848-1498898D73A5}"/>
            </a:ext>
          </a:extLst>
        </xdr:cNvPr>
        <xdr:cNvGrpSpPr/>
      </xdr:nvGrpSpPr>
      <xdr:grpSpPr>
        <a:xfrm>
          <a:off x="3736835" y="41939578"/>
          <a:ext cx="2993887" cy="3164247"/>
          <a:chOff x="3227915" y="43319290"/>
          <a:chExt cx="2899229" cy="3264822"/>
        </a:xfrm>
      </xdr:grpSpPr>
      <xdr:grpSp>
        <xdr:nvGrpSpPr>
          <xdr:cNvPr id="56" name="Grupo 55">
            <a:extLst>
              <a:ext uri="{FF2B5EF4-FFF2-40B4-BE49-F238E27FC236}">
                <a16:creationId xmlns:a16="http://schemas.microsoft.com/office/drawing/2014/main" id="{D4287ED2-015B-71B8-D181-A08F635694D7}"/>
              </a:ext>
            </a:extLst>
          </xdr:cNvPr>
          <xdr:cNvGrpSpPr/>
        </xdr:nvGrpSpPr>
        <xdr:grpSpPr>
          <a:xfrm>
            <a:off x="3227915" y="43319290"/>
            <a:ext cx="2899229" cy="3264822"/>
            <a:chOff x="3227915" y="43319290"/>
            <a:chExt cx="2899229" cy="3264822"/>
          </a:xfrm>
        </xdr:grpSpPr>
        <xdr:pic>
          <xdr:nvPicPr>
            <xdr:cNvPr id="54" name="Imagen 53">
              <a:extLst>
                <a:ext uri="{FF2B5EF4-FFF2-40B4-BE49-F238E27FC236}">
                  <a16:creationId xmlns:a16="http://schemas.microsoft.com/office/drawing/2014/main" id="{6B4F3C02-950F-67EA-DFBA-9B3F12D6023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227915" y="43319290"/>
              <a:ext cx="2899229" cy="3264822"/>
            </a:xfrm>
            <a:prstGeom prst="rect">
              <a:avLst/>
            </a:prstGeom>
            <a:ln>
              <a:solidFill>
                <a:srgbClr val="FF0000"/>
              </a:solidFill>
            </a:ln>
          </xdr:spPr>
        </xdr:pic>
        <xdr:sp macro="" textlink="">
          <xdr:nvSpPr>
            <xdr:cNvPr id="55" name="Rectángulo: esquinas redondeadas 54">
              <a:extLst>
                <a:ext uri="{FF2B5EF4-FFF2-40B4-BE49-F238E27FC236}">
                  <a16:creationId xmlns:a16="http://schemas.microsoft.com/office/drawing/2014/main" id="{930851B5-62D6-A56F-A745-08C3B3A376F3}"/>
                </a:ext>
              </a:extLst>
            </xdr:cNvPr>
            <xdr:cNvSpPr/>
          </xdr:nvSpPr>
          <xdr:spPr>
            <a:xfrm>
              <a:off x="4624917" y="45783500"/>
              <a:ext cx="1428750" cy="243417"/>
            </a:xfrm>
            <a:prstGeom prst="roundRect">
              <a:avLst/>
            </a:prstGeom>
            <a:noFill/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R" sz="1100"/>
            </a:p>
          </xdr:txBody>
        </xdr:sp>
      </xdr:grpSp>
      <xdr:sp macro="" textlink="">
        <xdr:nvSpPr>
          <xdr:cNvPr id="58" name="Rectángulo: esquinas redondeadas 57">
            <a:extLst>
              <a:ext uri="{FF2B5EF4-FFF2-40B4-BE49-F238E27FC236}">
                <a16:creationId xmlns:a16="http://schemas.microsoft.com/office/drawing/2014/main" id="{08466167-B8DC-0BAB-D075-9083802E95D3}"/>
              </a:ext>
            </a:extLst>
          </xdr:cNvPr>
          <xdr:cNvSpPr/>
        </xdr:nvSpPr>
        <xdr:spPr>
          <a:xfrm>
            <a:off x="3778250" y="45487167"/>
            <a:ext cx="2159000" cy="254000"/>
          </a:xfrm>
          <a:prstGeom prst="round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/>
          </a:p>
        </xdr:txBody>
      </xdr:sp>
    </xdr:grpSp>
    <xdr:clientData/>
  </xdr:twoCellAnchor>
  <xdr:twoCellAnchor>
    <xdr:from>
      <xdr:col>3</xdr:col>
      <xdr:colOff>391583</xdr:colOff>
      <xdr:row>243</xdr:row>
      <xdr:rowOff>169334</xdr:rowOff>
    </xdr:from>
    <xdr:to>
      <xdr:col>12</xdr:col>
      <xdr:colOff>97224</xdr:colOff>
      <xdr:row>262</xdr:row>
      <xdr:rowOff>74576</xdr:rowOff>
    </xdr:to>
    <xdr:grpSp>
      <xdr:nvGrpSpPr>
        <xdr:cNvPr id="62" name="Grupo 61">
          <a:extLst>
            <a:ext uri="{FF2B5EF4-FFF2-40B4-BE49-F238E27FC236}">
              <a16:creationId xmlns:a16="http://schemas.microsoft.com/office/drawing/2014/main" id="{D7F4A6FD-F416-60B1-51BC-09F527935691}"/>
            </a:ext>
          </a:extLst>
        </xdr:cNvPr>
        <xdr:cNvGrpSpPr/>
      </xdr:nvGrpSpPr>
      <xdr:grpSpPr>
        <a:xfrm>
          <a:off x="2398340" y="46130713"/>
          <a:ext cx="6776623" cy="3412335"/>
          <a:chOff x="3270250" y="47625000"/>
          <a:chExt cx="6563641" cy="3524742"/>
        </a:xfrm>
      </xdr:grpSpPr>
      <xdr:pic>
        <xdr:nvPicPr>
          <xdr:cNvPr id="60" name="Imagen 59">
            <a:extLst>
              <a:ext uri="{FF2B5EF4-FFF2-40B4-BE49-F238E27FC236}">
                <a16:creationId xmlns:a16="http://schemas.microsoft.com/office/drawing/2014/main" id="{2D2A9A34-51E3-8589-E62C-C70010468E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3270250" y="47625000"/>
            <a:ext cx="6563641" cy="3524742"/>
          </a:xfrm>
          <a:prstGeom prst="rect">
            <a:avLst/>
          </a:prstGeom>
          <a:ln w="38100">
            <a:solidFill>
              <a:srgbClr val="FF0000"/>
            </a:solidFill>
          </a:ln>
        </xdr:spPr>
      </xdr:pic>
      <xdr:sp macro="" textlink="">
        <xdr:nvSpPr>
          <xdr:cNvPr id="61" name="Flecha: curvada hacia la derecha 60">
            <a:extLst>
              <a:ext uri="{FF2B5EF4-FFF2-40B4-BE49-F238E27FC236}">
                <a16:creationId xmlns:a16="http://schemas.microsoft.com/office/drawing/2014/main" id="{3A52A1C0-990F-89E6-4C77-4BE4A0E0299F}"/>
              </a:ext>
            </a:extLst>
          </xdr:cNvPr>
          <xdr:cNvSpPr/>
        </xdr:nvSpPr>
        <xdr:spPr>
          <a:xfrm rot="18775692" flipH="1" flipV="1">
            <a:off x="7542075" y="47532737"/>
            <a:ext cx="1189440" cy="2560042"/>
          </a:xfrm>
          <a:prstGeom prst="curvedRightArrow">
            <a:avLst/>
          </a:prstGeom>
          <a:ln w="381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833437</xdr:colOff>
      <xdr:row>2</xdr:row>
      <xdr:rowOff>14287</xdr:rowOff>
    </xdr:from>
    <xdr:to>
      <xdr:col>11</xdr:col>
      <xdr:colOff>757237</xdr:colOff>
      <xdr:row>16</xdr:row>
      <xdr:rowOff>90487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2C1EDAC-B214-4FEB-8743-BB096ECFD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2</xdr:row>
      <xdr:rowOff>0</xdr:rowOff>
    </xdr:from>
    <xdr:to>
      <xdr:col>18</xdr:col>
      <xdr:colOff>266700</xdr:colOff>
      <xdr:row>9</xdr:row>
      <xdr:rowOff>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05AB5661-A642-43AC-A686-475400E98024}"/>
            </a:ext>
          </a:extLst>
        </xdr:cNvPr>
        <xdr:cNvSpPr/>
      </xdr:nvSpPr>
      <xdr:spPr>
        <a:xfrm>
          <a:off x="8188138" y="381000"/>
          <a:ext cx="8058150" cy="1333500"/>
        </a:xfrm>
        <a:prstGeom prst="roundRect">
          <a:avLst>
            <a:gd name="adj" fmla="val 7184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rgbClr val="FF0000"/>
              </a:solidFill>
            </a:rPr>
            <a:t>Hacer Tabla Dinámica en Hoja Nueva</a:t>
          </a:r>
        </a:p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1- MOSTRAR LA SUMA DE VENTAS POR CADA VENDEDOR</a:t>
          </a:r>
          <a:r>
            <a:rPr lang="es-PE" sz="2000" b="1" baseline="0">
              <a:solidFill>
                <a:schemeClr val="tx1">
                  <a:lumMod val="95000"/>
                  <a:lumOff val="5000"/>
                </a:schemeClr>
              </a:solidFill>
            </a:rPr>
            <a:t>, AGRUPADO POR TIENDA</a:t>
          </a:r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 </a:t>
          </a:r>
        </a:p>
      </xdr:txBody>
    </xdr:sp>
    <xdr:clientData/>
  </xdr:twoCellAnchor>
  <xdr:twoCellAnchor editAs="oneCell">
    <xdr:from>
      <xdr:col>9</xdr:col>
      <xdr:colOff>342900</xdr:colOff>
      <xdr:row>14</xdr:row>
      <xdr:rowOff>142875</xdr:rowOff>
    </xdr:from>
    <xdr:to>
      <xdr:col>19</xdr:col>
      <xdr:colOff>752477</xdr:colOff>
      <xdr:row>25</xdr:row>
      <xdr:rowOff>158194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CAF9C1-D958-4E3F-A5CE-C842B74F62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5098" t="49838" r="21108" b="25412"/>
        <a:stretch/>
      </xdr:blipFill>
      <xdr:spPr>
        <a:xfrm>
          <a:off x="9639300" y="2809875"/>
          <a:ext cx="8029577" cy="2110819"/>
        </a:xfrm>
        <a:prstGeom prst="rect">
          <a:avLst/>
        </a:prstGeom>
      </xdr:spPr>
    </xdr:pic>
    <xdr:clientData/>
  </xdr:twoCellAnchor>
  <xdr:twoCellAnchor>
    <xdr:from>
      <xdr:col>12</xdr:col>
      <xdr:colOff>704850</xdr:colOff>
      <xdr:row>8</xdr:row>
      <xdr:rowOff>85725</xdr:rowOff>
    </xdr:from>
    <xdr:to>
      <xdr:col>13</xdr:col>
      <xdr:colOff>390525</xdr:colOff>
      <xdr:row>13</xdr:row>
      <xdr:rowOff>180975</xdr:rowOff>
    </xdr:to>
    <xdr:sp macro="" textlink="">
      <xdr:nvSpPr>
        <xdr:cNvPr id="4" name="Flecha: hacia abajo 3">
          <a:extLst>
            <a:ext uri="{FF2B5EF4-FFF2-40B4-BE49-F238E27FC236}">
              <a16:creationId xmlns:a16="http://schemas.microsoft.com/office/drawing/2014/main" id="{8DDFF533-A57C-E380-FEC9-059265518B04}"/>
            </a:ext>
          </a:extLst>
        </xdr:cNvPr>
        <xdr:cNvSpPr/>
      </xdr:nvSpPr>
      <xdr:spPr>
        <a:xfrm>
          <a:off x="12287250" y="1609725"/>
          <a:ext cx="447675" cy="1047750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8</xdr:col>
      <xdr:colOff>726281</xdr:colOff>
      <xdr:row>30</xdr:row>
      <xdr:rowOff>11906</xdr:rowOff>
    </xdr:from>
    <xdr:to>
      <xdr:col>19</xdr:col>
      <xdr:colOff>402431</xdr:colOff>
      <xdr:row>42</xdr:row>
      <xdr:rowOff>142874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BE6FDFFF-AB4D-437A-8AFC-32107170A9DD}"/>
            </a:ext>
          </a:extLst>
        </xdr:cNvPr>
        <xdr:cNvSpPr/>
      </xdr:nvSpPr>
      <xdr:spPr>
        <a:xfrm>
          <a:off x="9096375" y="5726906"/>
          <a:ext cx="8058150" cy="2416968"/>
        </a:xfrm>
        <a:prstGeom prst="roundRect">
          <a:avLst>
            <a:gd name="adj" fmla="val 7184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Hacer Tabla Dinámica en Hoja Nueva</a:t>
          </a:r>
          <a:endParaRPr lang="es-CR" sz="4000">
            <a:solidFill>
              <a:srgbClr val="FF0000"/>
            </a:solidFill>
            <a:effectLst/>
          </a:endParaRPr>
        </a:p>
        <a:p>
          <a:pPr algn="ctr"/>
          <a:endParaRPr lang="es-PE" sz="2000" b="1">
            <a:solidFill>
              <a:schemeClr val="tx1">
                <a:lumMod val="95000"/>
                <a:lumOff val="5000"/>
              </a:schemeClr>
            </a:solidFill>
          </a:endParaRPr>
        </a:p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2- MOSTRAR LA SUMA DE  VENTAS POR CADA VENDEDOR</a:t>
          </a:r>
          <a:r>
            <a:rPr lang="es-PE" sz="2000" b="1" baseline="0">
              <a:solidFill>
                <a:schemeClr val="tx1">
                  <a:lumMod val="95000"/>
                  <a:lumOff val="5000"/>
                </a:schemeClr>
              </a:solidFill>
            </a:rPr>
            <a:t>, AGRUPADO POR FECHA</a:t>
          </a:r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 </a:t>
          </a:r>
        </a:p>
      </xdr:txBody>
    </xdr:sp>
    <xdr:clientData/>
  </xdr:twoCellAnchor>
  <xdr:twoCellAnchor>
    <xdr:from>
      <xdr:col>8</xdr:col>
      <xdr:colOff>738887</xdr:colOff>
      <xdr:row>48</xdr:row>
      <xdr:rowOff>161084</xdr:rowOff>
    </xdr:from>
    <xdr:to>
      <xdr:col>19</xdr:col>
      <xdr:colOff>415037</xdr:colOff>
      <xdr:row>62</xdr:row>
      <xdr:rowOff>1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96651A11-79F9-4601-A047-6BBA2CB63081}"/>
            </a:ext>
          </a:extLst>
        </xdr:cNvPr>
        <xdr:cNvSpPr/>
      </xdr:nvSpPr>
      <xdr:spPr>
        <a:xfrm>
          <a:off x="9108981" y="9305084"/>
          <a:ext cx="8058150" cy="2505917"/>
        </a:xfrm>
        <a:prstGeom prst="roundRect">
          <a:avLst>
            <a:gd name="adj" fmla="val 7184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8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Hacer Tabla Dinámica en Hoja Nueva</a:t>
          </a:r>
          <a:endParaRPr lang="es-CR" sz="3600">
            <a:solidFill>
              <a:srgbClr val="FF0000"/>
            </a:solidFill>
            <a:effectLst/>
          </a:endParaRPr>
        </a:p>
        <a:p>
          <a:pPr algn="ctr"/>
          <a:endParaRPr lang="es-PE" sz="2000" b="1">
            <a:solidFill>
              <a:schemeClr val="tx1">
                <a:lumMod val="95000"/>
                <a:lumOff val="5000"/>
              </a:schemeClr>
            </a:solidFill>
          </a:endParaRPr>
        </a:p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3- REALIZAR</a:t>
          </a:r>
          <a:r>
            <a:rPr lang="es-PE" sz="2000" b="1" baseline="0">
              <a:solidFill>
                <a:schemeClr val="tx1">
                  <a:lumMod val="95000"/>
                  <a:lumOff val="5000"/>
                </a:schemeClr>
              </a:solidFill>
            </a:rPr>
            <a:t> UN INFORME DE LA MISMA TABLA CON LOS DATOS Y VALORES QUE USTED ELIJA</a:t>
          </a:r>
          <a:endParaRPr lang="es-PE" sz="20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18</xdr:col>
      <xdr:colOff>537883</xdr:colOff>
      <xdr:row>2</xdr:row>
      <xdr:rowOff>179294</xdr:rowOff>
    </xdr:from>
    <xdr:to>
      <xdr:col>23</xdr:col>
      <xdr:colOff>336177</xdr:colOff>
      <xdr:row>10</xdr:row>
      <xdr:rowOff>33617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70C0C79A-B1E2-9A78-38F9-3559714918C0}"/>
            </a:ext>
          </a:extLst>
        </xdr:cNvPr>
        <xdr:cNvSpPr/>
      </xdr:nvSpPr>
      <xdr:spPr>
        <a:xfrm>
          <a:off x="16517471" y="560294"/>
          <a:ext cx="3608294" cy="137832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 b="1"/>
            <a:t>INSERTAR</a:t>
          </a:r>
          <a:r>
            <a:rPr lang="es-CR" sz="1200" b="1" baseline="0"/>
            <a:t> UN GRÁFICO DINÁMICO DE SU ELECCIÓN</a:t>
          </a:r>
          <a:endParaRPr lang="es-CR" sz="12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0</xdr:row>
      <xdr:rowOff>133350</xdr:rowOff>
    </xdr:from>
    <xdr:to>
      <xdr:col>14</xdr:col>
      <xdr:colOff>628650</xdr:colOff>
      <xdr:row>4</xdr:row>
      <xdr:rowOff>114300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DE01AB10-7E08-4AAC-9D08-F88DDA10A13A}"/>
            </a:ext>
          </a:extLst>
        </xdr:cNvPr>
        <xdr:cNvSpPr/>
      </xdr:nvSpPr>
      <xdr:spPr>
        <a:xfrm>
          <a:off x="9620250" y="133350"/>
          <a:ext cx="8029575" cy="1104900"/>
        </a:xfrm>
        <a:prstGeom prst="roundRect">
          <a:avLst>
            <a:gd name="adj" fmla="val 7184"/>
          </a:avLst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MOSTRAR LA SUMA DE IMPORTES</a:t>
          </a:r>
          <a:r>
            <a:rPr lang="es-PE" sz="2000" b="1" baseline="0">
              <a:solidFill>
                <a:schemeClr val="tx1">
                  <a:lumMod val="95000"/>
                  <a:lumOff val="5000"/>
                </a:schemeClr>
              </a:solidFill>
            </a:rPr>
            <a:t> POR TIENDA Y AGRUPADO POR FECHA (Año y mes)</a:t>
          </a:r>
          <a:endParaRPr lang="es-PE" sz="20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 editAs="oneCell">
    <xdr:from>
      <xdr:col>6</xdr:col>
      <xdr:colOff>388938</xdr:colOff>
      <xdr:row>5</xdr:row>
      <xdr:rowOff>87312</xdr:rowOff>
    </xdr:from>
    <xdr:to>
      <xdr:col>14</xdr:col>
      <xdr:colOff>628276</xdr:colOff>
      <xdr:row>24</xdr:row>
      <xdr:rowOff>198437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B8FF91-C1A4-4C10-829E-54857EDE8B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0804" t="37273" r="18913" b="21904"/>
        <a:stretch/>
      </xdr:blipFill>
      <xdr:spPr>
        <a:xfrm>
          <a:off x="9790113" y="1439862"/>
          <a:ext cx="7859338" cy="44545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2</xdr:row>
      <xdr:rowOff>42862</xdr:rowOff>
    </xdr:from>
    <xdr:to>
      <xdr:col>12</xdr:col>
      <xdr:colOff>285750</xdr:colOff>
      <xdr:row>16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0CBA8D-256D-401A-93E4-270FD53A8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0</xdr:row>
      <xdr:rowOff>180975</xdr:rowOff>
    </xdr:from>
    <xdr:to>
      <xdr:col>14</xdr:col>
      <xdr:colOff>638175</xdr:colOff>
      <xdr:row>8</xdr:row>
      <xdr:rowOff>76200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3F4766AB-BA40-4F12-8807-1C0E2D11B5EF}"/>
            </a:ext>
          </a:extLst>
        </xdr:cNvPr>
        <xdr:cNvSpPr/>
      </xdr:nvSpPr>
      <xdr:spPr>
        <a:xfrm>
          <a:off x="9629775" y="180975"/>
          <a:ext cx="8582025" cy="1895475"/>
        </a:xfrm>
        <a:prstGeom prst="roundRect">
          <a:avLst>
            <a:gd name="adj" fmla="val 7184"/>
          </a:avLst>
        </a:prstGeom>
        <a:solidFill>
          <a:srgbClr val="60C3D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MOSTRAR LAS VENTAS MÁXIMAS POR VENDEDOR,</a:t>
          </a:r>
          <a:r>
            <a:rPr lang="es-PE" sz="2000" b="1" baseline="0">
              <a:solidFill>
                <a:schemeClr val="tx1">
                  <a:lumMod val="95000"/>
                  <a:lumOff val="5000"/>
                </a:schemeClr>
              </a:solidFill>
            </a:rPr>
            <a:t> AGRUPAR POR FECHAS(AÑO, MES) Y FILTRAR POR TIENDA</a:t>
          </a:r>
        </a:p>
        <a:p>
          <a:pPr algn="ctr"/>
          <a:r>
            <a:rPr lang="es-PE" sz="2000" b="1" baseline="0">
              <a:solidFill>
                <a:schemeClr val="tx1">
                  <a:lumMod val="95000"/>
                  <a:lumOff val="5000"/>
                </a:schemeClr>
              </a:solidFill>
            </a:rPr>
            <a:t>Crear Gráfico Dinámico de Columnas Agrupadas</a:t>
          </a:r>
          <a:endParaRPr lang="es-PE" sz="20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 editAs="oneCell">
    <xdr:from>
      <xdr:col>7</xdr:col>
      <xdr:colOff>209550</xdr:colOff>
      <xdr:row>10</xdr:row>
      <xdr:rowOff>28575</xdr:rowOff>
    </xdr:from>
    <xdr:to>
      <xdr:col>13</xdr:col>
      <xdr:colOff>238125</xdr:colOff>
      <xdr:row>26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489579-0E3B-4981-BFC5-E2989B692B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6883" t="31115" r="9468" b="32954"/>
        <a:stretch/>
      </xdr:blipFill>
      <xdr:spPr>
        <a:xfrm>
          <a:off x="10372725" y="2486025"/>
          <a:ext cx="6153150" cy="36957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NDECIMO" refreshedDate="46279.332814467591" createdVersion="7" refreshedVersion="7" minRefreshableVersion="3" recordCount="38" xr:uid="{29BBAD27-89BF-4A55-9482-E45257C1A70A}">
  <cacheSource type="worksheet">
    <worksheetSource name="tablita1"/>
  </cacheSource>
  <cacheFields count="7">
    <cacheField name="Fecha" numFmtId="14">
      <sharedItems containsSemiMixedTypes="0" containsNonDate="0" containsDate="1" containsString="0" minDate="2020-03-17T00:00:00" maxDate="2025-09-11T00:00:00" count="30">
        <d v="2020-03-17T00:00:00"/>
        <d v="2020-03-20T00:00:00"/>
        <d v="2020-03-22T00:00:00"/>
        <d v="2020-04-20T00:00:00"/>
        <d v="2020-04-17T00:00:00"/>
        <d v="2020-05-22T00:00:00"/>
        <d v="2020-05-24T00:00:00"/>
        <d v="2020-05-17T00:00:00"/>
        <d v="2020-05-20T00:00:00"/>
        <d v="2020-05-27T00:00:00"/>
        <d v="2021-05-18T00:00:00"/>
        <d v="2021-06-16T00:00:00"/>
        <d v="2021-06-17T00:00:00"/>
        <d v="2021-06-20T00:00:00"/>
        <d v="2021-06-19T00:00:00"/>
        <d v="2021-07-05T00:00:00"/>
        <d v="2021-07-06T00:00:00"/>
        <d v="2021-07-08T00:00:00"/>
        <d v="2021-08-04T00:00:00"/>
        <d v="2021-08-06T00:00:00"/>
        <d v="2021-08-07T00:00:00"/>
        <d v="2021-09-01T00:00:00"/>
        <d v="2021-09-04T00:00:00"/>
        <d v="2022-09-05T00:00:00"/>
        <d v="2022-09-08T00:00:00"/>
        <d v="2022-09-20T00:00:00"/>
        <d v="2022-08-07T00:00:00"/>
        <d v="2022-09-01T00:00:00"/>
        <d v="2022-09-04T00:00:00"/>
        <d v="2025-09-10T00:00:00"/>
      </sharedItems>
      <fieldGroup par="6" base="0">
        <rangePr groupBy="months" startDate="2020-03-17T00:00:00" endDate="2025-09-11T00:00:00"/>
        <groupItems count="14">
          <s v="&lt;17/3/2020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1/9/2025"/>
        </groupItems>
      </fieldGroup>
    </cacheField>
    <cacheField name="Nombre Vendedor" numFmtId="0">
      <sharedItems count="4">
        <s v="Carmen Vasquez"/>
        <s v="Juan Carmen"/>
        <s v="Pedro Noriega"/>
        <s v="José Almanares"/>
      </sharedItems>
    </cacheField>
    <cacheField name="Venta-Tienda" numFmtId="0">
      <sharedItems count="5">
        <s v="Tienda A"/>
        <s v="Tienda B"/>
        <s v="Tienda C"/>
        <s v="Tienda D"/>
        <s v="tienda H"/>
      </sharedItems>
    </cacheField>
    <cacheField name="Producto" numFmtId="0">
      <sharedItems/>
    </cacheField>
    <cacheField name="Total" numFmtId="164">
      <sharedItems containsSemiMixedTypes="0" containsString="0" containsNumber="1" containsInteger="1" minValue="10" maxValue="5500"/>
    </cacheField>
    <cacheField name="Trimestres" numFmtId="0" databaseField="0">
      <fieldGroup base="0">
        <rangePr groupBy="quarters" startDate="2020-03-17T00:00:00" endDate="2025-09-11T00:00:00"/>
        <groupItems count="6">
          <s v="&lt;17/3/2020"/>
          <s v="Trim.1"/>
          <s v="Trim.2"/>
          <s v="Trim.3"/>
          <s v="Trim.4"/>
          <s v="&gt;11/9/2025"/>
        </groupItems>
      </fieldGroup>
    </cacheField>
    <cacheField name="Años" numFmtId="0" databaseField="0">
      <fieldGroup base="0">
        <rangePr groupBy="years" startDate="2020-03-17T00:00:00" endDate="2025-09-11T00:00:00"/>
        <groupItems count="8">
          <s v="&lt;17/3/2020"/>
          <s v="2020"/>
          <s v="2021"/>
          <s v="2022"/>
          <s v="2023"/>
          <s v="2024"/>
          <s v="2025"/>
          <s v="&gt;11/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NDECIMO" refreshedDate="46279.340587152779" createdVersion="7" refreshedVersion="7" minRefreshableVersion="3" recordCount="29" xr:uid="{0C1750C9-938E-4392-A79C-7D646C6437A3}">
  <cacheSource type="worksheet">
    <worksheetSource name="Tablita2"/>
  </cacheSource>
  <cacheFields count="7">
    <cacheField name="Fecha" numFmtId="14">
      <sharedItems containsSemiMixedTypes="0" containsNonDate="0" containsDate="1" containsString="0" minDate="2017-03-17T00:00:00" maxDate="2019-09-21T00:00:00" count="26">
        <d v="2017-03-17T00:00:00"/>
        <d v="2017-03-20T00:00:00"/>
        <d v="2017-03-22T00:00:00"/>
        <d v="2017-04-20T00:00:00"/>
        <d v="2017-04-17T00:00:00"/>
        <d v="2017-05-22T00:00:00"/>
        <d v="2017-05-24T00:00:00"/>
        <d v="2017-05-17T00:00:00"/>
        <d v="2017-05-20T00:00:00"/>
        <d v="2017-05-27T00:00:00"/>
        <d v="2018-05-18T00:00:00"/>
        <d v="2018-06-16T00:00:00"/>
        <d v="2018-06-17T00:00:00"/>
        <d v="2018-06-20T00:00:00"/>
        <d v="2018-06-19T00:00:00"/>
        <d v="2018-07-05T00:00:00"/>
        <d v="2018-07-06T00:00:00"/>
        <d v="2018-07-08T00:00:00"/>
        <d v="2018-08-04T00:00:00"/>
        <d v="2018-08-06T00:00:00"/>
        <d v="2018-08-07T00:00:00"/>
        <d v="2018-09-01T00:00:00"/>
        <d v="2018-09-04T00:00:00"/>
        <d v="2019-09-05T00:00:00"/>
        <d v="2019-09-08T00:00:00"/>
        <d v="2019-09-20T00:00:00"/>
      </sharedItems>
      <fieldGroup par="6" base="0">
        <rangePr groupBy="months" startDate="2017-03-17T00:00:00" endDate="2019-09-21T00:00:00"/>
        <groupItems count="14">
          <s v="&lt;17/3/2017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1/9/2019"/>
        </groupItems>
      </fieldGroup>
    </cacheField>
    <cacheField name="Vendedor" numFmtId="0">
      <sharedItems/>
    </cacheField>
    <cacheField name="Tienda" numFmtId="0">
      <sharedItems count="4">
        <s v="Tienda A"/>
        <s v="Tienda B"/>
        <s v="Tienda C"/>
        <s v="Tienda D"/>
      </sharedItems>
    </cacheField>
    <cacheField name="Producto" numFmtId="0">
      <sharedItems/>
    </cacheField>
    <cacheField name="Importe" numFmtId="164">
      <sharedItems containsSemiMixedTypes="0" containsString="0" containsNumber="1" containsInteger="1" minValue="10" maxValue="4000" count="10">
        <n v="1000"/>
        <n v="200"/>
        <n v="3500"/>
        <n v="100"/>
        <n v="20"/>
        <n v="10"/>
        <n v="4000"/>
        <n v="180"/>
        <n v="30"/>
        <n v="15"/>
      </sharedItems>
    </cacheField>
    <cacheField name="Trimestres" numFmtId="0" databaseField="0">
      <fieldGroup base="0">
        <rangePr groupBy="quarters" startDate="2017-03-17T00:00:00" endDate="2019-09-21T00:00:00"/>
        <groupItems count="6">
          <s v="&lt;17/3/2017"/>
          <s v="Trim.1"/>
          <s v="Trim.2"/>
          <s v="Trim.3"/>
          <s v="Trim.4"/>
          <s v="&gt;21/9/2019"/>
        </groupItems>
      </fieldGroup>
    </cacheField>
    <cacheField name="Años" numFmtId="0" databaseField="0">
      <fieldGroup base="0">
        <rangePr groupBy="years" startDate="2017-03-17T00:00:00" endDate="2019-09-21T00:00:00"/>
        <groupItems count="5">
          <s v="&lt;17/3/2017"/>
          <s v="2017"/>
          <s v="2018"/>
          <s v="2019"/>
          <s v="&gt;21/9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NDECIMO" refreshedDate="46279.343696875003" createdVersion="7" refreshedVersion="7" minRefreshableVersion="3" recordCount="29" xr:uid="{25A707ED-496A-4618-9970-C3E5F5EE3394}">
  <cacheSource type="worksheet">
    <worksheetSource name="tablita3"/>
  </cacheSource>
  <cacheFields count="7">
    <cacheField name="Fecha" numFmtId="14">
      <sharedItems containsSemiMixedTypes="0" containsNonDate="0" containsDate="1" containsString="0" minDate="2017-03-17T00:00:00" maxDate="2019-09-21T00:00:00" count="26">
        <d v="2017-03-17T00:00:00"/>
        <d v="2017-03-20T00:00:00"/>
        <d v="2017-03-22T00:00:00"/>
        <d v="2017-04-20T00:00:00"/>
        <d v="2017-04-17T00:00:00"/>
        <d v="2017-05-22T00:00:00"/>
        <d v="2017-05-24T00:00:00"/>
        <d v="2017-05-17T00:00:00"/>
        <d v="2017-05-20T00:00:00"/>
        <d v="2017-05-27T00:00:00"/>
        <d v="2018-05-18T00:00:00"/>
        <d v="2018-06-16T00:00:00"/>
        <d v="2018-06-17T00:00:00"/>
        <d v="2018-06-20T00:00:00"/>
        <d v="2018-06-19T00:00:00"/>
        <d v="2018-07-05T00:00:00"/>
        <d v="2018-07-06T00:00:00"/>
        <d v="2018-07-08T00:00:00"/>
        <d v="2018-08-04T00:00:00"/>
        <d v="2018-08-06T00:00:00"/>
        <d v="2018-08-07T00:00:00"/>
        <d v="2018-09-01T00:00:00"/>
        <d v="2018-09-04T00:00:00"/>
        <d v="2019-09-05T00:00:00"/>
        <d v="2019-09-08T00:00:00"/>
        <d v="2019-09-20T00:00:00"/>
      </sharedItems>
      <fieldGroup par="6" base="0">
        <rangePr groupBy="months" startDate="2017-03-17T00:00:00" endDate="2019-09-21T00:00:00"/>
        <groupItems count="14">
          <s v="&lt;17/3/2017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1/9/2019"/>
        </groupItems>
      </fieldGroup>
    </cacheField>
    <cacheField name="Vendedor" numFmtId="0">
      <sharedItems count="4">
        <s v="Carlos Vasquez"/>
        <s v="Juan Carlos"/>
        <s v="Pedro Noriega"/>
        <s v="José Almanares"/>
      </sharedItems>
    </cacheField>
    <cacheField name="Tienda" numFmtId="0">
      <sharedItems count="4">
        <s v="Tienda A"/>
        <s v="Tienda B"/>
        <s v="Tienda C"/>
        <s v="Tienda D"/>
      </sharedItems>
    </cacheField>
    <cacheField name="Producto" numFmtId="0">
      <sharedItems/>
    </cacheField>
    <cacheField name="Importe" numFmtId="164">
      <sharedItems containsSemiMixedTypes="0" containsString="0" containsNumber="1" containsInteger="1" minValue="10" maxValue="4000"/>
    </cacheField>
    <cacheField name="Trimestres" numFmtId="0" databaseField="0">
      <fieldGroup base="0">
        <rangePr groupBy="quarters" startDate="2017-03-17T00:00:00" endDate="2019-09-21T00:00:00"/>
        <groupItems count="6">
          <s v="&lt;17/3/2017"/>
          <s v="Trim.1"/>
          <s v="Trim.2"/>
          <s v="Trim.3"/>
          <s v="Trim.4"/>
          <s v="&gt;21/9/2019"/>
        </groupItems>
      </fieldGroup>
    </cacheField>
    <cacheField name="Años" numFmtId="0" databaseField="0">
      <fieldGroup base="0">
        <rangePr groupBy="years" startDate="2017-03-17T00:00:00" endDate="2019-09-21T00:00:00"/>
        <groupItems count="5">
          <s v="&lt;17/3/2017"/>
          <s v="2017"/>
          <s v="2018"/>
          <s v="2019"/>
          <s v="&gt;21/9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x v="0"/>
    <x v="0"/>
    <x v="0"/>
    <s v="Laptop i3"/>
    <n v="1000"/>
  </r>
  <r>
    <x v="1"/>
    <x v="1"/>
    <x v="1"/>
    <s v="Impresora "/>
    <n v="200"/>
  </r>
  <r>
    <x v="2"/>
    <x v="2"/>
    <x v="1"/>
    <s v="Laptop i5"/>
    <n v="3500"/>
  </r>
  <r>
    <x v="3"/>
    <x v="3"/>
    <x v="2"/>
    <s v="Impresora "/>
    <n v="100"/>
  </r>
  <r>
    <x v="4"/>
    <x v="0"/>
    <x v="0"/>
    <s v="Pantalla 42"/>
    <n v="100"/>
  </r>
  <r>
    <x v="5"/>
    <x v="1"/>
    <x v="2"/>
    <s v="Teclado"/>
    <n v="20"/>
  </r>
  <r>
    <x v="5"/>
    <x v="2"/>
    <x v="2"/>
    <s v="Mouse"/>
    <n v="10"/>
  </r>
  <r>
    <x v="6"/>
    <x v="3"/>
    <x v="0"/>
    <s v="Teclado"/>
    <n v="20"/>
  </r>
  <r>
    <x v="7"/>
    <x v="3"/>
    <x v="3"/>
    <s v="Laptop i7"/>
    <n v="4000"/>
  </r>
  <r>
    <x v="8"/>
    <x v="0"/>
    <x v="2"/>
    <s v="Laptop i7"/>
    <n v="4000"/>
  </r>
  <r>
    <x v="9"/>
    <x v="1"/>
    <x v="2"/>
    <s v="Pantalla 17"/>
    <n v="180"/>
  </r>
  <r>
    <x v="8"/>
    <x v="2"/>
    <x v="0"/>
    <s v="Mouse"/>
    <n v="10"/>
  </r>
  <r>
    <x v="7"/>
    <x v="3"/>
    <x v="3"/>
    <s v="Teclado"/>
    <n v="30"/>
  </r>
  <r>
    <x v="10"/>
    <x v="0"/>
    <x v="1"/>
    <s v="Laptop i3"/>
    <n v="1000"/>
  </r>
  <r>
    <x v="11"/>
    <x v="1"/>
    <x v="2"/>
    <s v="USB 3.0.1"/>
    <n v="15"/>
  </r>
  <r>
    <x v="12"/>
    <x v="2"/>
    <x v="0"/>
    <s v="Laptop i7"/>
    <n v="4000"/>
  </r>
  <r>
    <x v="13"/>
    <x v="3"/>
    <x v="2"/>
    <s v="USB 3.0.1"/>
    <n v="15"/>
  </r>
  <r>
    <x v="14"/>
    <x v="0"/>
    <x v="0"/>
    <s v="Impresora "/>
    <n v="100"/>
  </r>
  <r>
    <x v="15"/>
    <x v="1"/>
    <x v="3"/>
    <s v="Pantalla 42"/>
    <n v="100"/>
  </r>
  <r>
    <x v="16"/>
    <x v="2"/>
    <x v="0"/>
    <s v="Laptop i3"/>
    <n v="15"/>
  </r>
  <r>
    <x v="17"/>
    <x v="3"/>
    <x v="2"/>
    <s v="Pantalla 42"/>
    <n v="100"/>
  </r>
  <r>
    <x v="18"/>
    <x v="0"/>
    <x v="3"/>
    <s v="USB 3.0.1"/>
    <n v="15"/>
  </r>
  <r>
    <x v="19"/>
    <x v="1"/>
    <x v="2"/>
    <s v="Pantalla 42"/>
    <n v="100"/>
  </r>
  <r>
    <x v="20"/>
    <x v="2"/>
    <x v="0"/>
    <s v="Laptop i7"/>
    <n v="4000"/>
  </r>
  <r>
    <x v="21"/>
    <x v="3"/>
    <x v="0"/>
    <s v="Pantalla 42"/>
    <n v="100"/>
  </r>
  <r>
    <x v="22"/>
    <x v="0"/>
    <x v="1"/>
    <s v="Impresora "/>
    <n v="100"/>
  </r>
  <r>
    <x v="23"/>
    <x v="1"/>
    <x v="0"/>
    <s v="Laptop i3"/>
    <n v="1000"/>
  </r>
  <r>
    <x v="24"/>
    <x v="2"/>
    <x v="3"/>
    <s v="Laptop i5"/>
    <n v="3500"/>
  </r>
  <r>
    <x v="25"/>
    <x v="3"/>
    <x v="1"/>
    <s v="USB 3.0.1"/>
    <n v="15"/>
  </r>
  <r>
    <x v="26"/>
    <x v="2"/>
    <x v="0"/>
    <s v="Laptop i7"/>
    <n v="5500"/>
  </r>
  <r>
    <x v="27"/>
    <x v="3"/>
    <x v="0"/>
    <s v="Pantalla 42"/>
    <n v="255"/>
  </r>
  <r>
    <x v="28"/>
    <x v="0"/>
    <x v="1"/>
    <s v="Impresora "/>
    <n v="550"/>
  </r>
  <r>
    <x v="23"/>
    <x v="1"/>
    <x v="0"/>
    <s v="Laptop i3"/>
    <n v="895"/>
  </r>
  <r>
    <x v="26"/>
    <x v="2"/>
    <x v="0"/>
    <s v="Laptop i7"/>
    <n v="5200"/>
  </r>
  <r>
    <x v="27"/>
    <x v="3"/>
    <x v="0"/>
    <s v="Pantalla 42"/>
    <n v="150"/>
  </r>
  <r>
    <x v="28"/>
    <x v="0"/>
    <x v="1"/>
    <s v="Impresora "/>
    <n v="355"/>
  </r>
  <r>
    <x v="23"/>
    <x v="1"/>
    <x v="0"/>
    <s v="Laptop i3"/>
    <n v="955"/>
  </r>
  <r>
    <x v="29"/>
    <x v="0"/>
    <x v="4"/>
    <s v="Laptop i3"/>
    <n v="9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s v="Carlos Vasquez"/>
    <x v="0"/>
    <s v="Laptop i3"/>
    <x v="0"/>
  </r>
  <r>
    <x v="1"/>
    <s v="Juan Carlos"/>
    <x v="1"/>
    <s v="Impresora "/>
    <x v="1"/>
  </r>
  <r>
    <x v="2"/>
    <s v="Pedro Noriega"/>
    <x v="1"/>
    <s v="Laptop i5"/>
    <x v="2"/>
  </r>
  <r>
    <x v="3"/>
    <s v="José Almanares"/>
    <x v="2"/>
    <s v="Impresora "/>
    <x v="3"/>
  </r>
  <r>
    <x v="4"/>
    <s v="Carlos Vasquez"/>
    <x v="0"/>
    <s v="Pantalla 42"/>
    <x v="3"/>
  </r>
  <r>
    <x v="5"/>
    <s v="Juan Carlos"/>
    <x v="2"/>
    <s v="Teclado"/>
    <x v="4"/>
  </r>
  <r>
    <x v="5"/>
    <s v="Pedro Noriega"/>
    <x v="2"/>
    <s v="Mouse"/>
    <x v="5"/>
  </r>
  <r>
    <x v="6"/>
    <s v="José Almanares"/>
    <x v="0"/>
    <s v="Teclado"/>
    <x v="4"/>
  </r>
  <r>
    <x v="7"/>
    <s v="José Almanares"/>
    <x v="3"/>
    <s v="Laptop i7"/>
    <x v="6"/>
  </r>
  <r>
    <x v="8"/>
    <s v="Carlos Vasquez"/>
    <x v="2"/>
    <s v="Laptop i7"/>
    <x v="6"/>
  </r>
  <r>
    <x v="9"/>
    <s v="Juan Carlos"/>
    <x v="2"/>
    <s v="Pantalla 17"/>
    <x v="7"/>
  </r>
  <r>
    <x v="8"/>
    <s v="Pedro Noriega"/>
    <x v="0"/>
    <s v="Mouse"/>
    <x v="5"/>
  </r>
  <r>
    <x v="7"/>
    <s v="José Almanares"/>
    <x v="3"/>
    <s v="Teclado"/>
    <x v="8"/>
  </r>
  <r>
    <x v="10"/>
    <s v="Carlos Vasquez"/>
    <x v="1"/>
    <s v="Laptop i3"/>
    <x v="0"/>
  </r>
  <r>
    <x v="11"/>
    <s v="Juan Carlos"/>
    <x v="2"/>
    <s v="USB 3.0.1"/>
    <x v="9"/>
  </r>
  <r>
    <x v="12"/>
    <s v="Pedro Noriega"/>
    <x v="0"/>
    <s v="Laptop i7"/>
    <x v="6"/>
  </r>
  <r>
    <x v="13"/>
    <s v="José Almanares"/>
    <x v="2"/>
    <s v="USB 3.0.1"/>
    <x v="9"/>
  </r>
  <r>
    <x v="14"/>
    <s v="Carlos Vasquez"/>
    <x v="0"/>
    <s v="Impresora "/>
    <x v="3"/>
  </r>
  <r>
    <x v="15"/>
    <s v="Juan Carlos"/>
    <x v="3"/>
    <s v="Pantalla 42"/>
    <x v="3"/>
  </r>
  <r>
    <x v="16"/>
    <s v="Pedro Noriega"/>
    <x v="0"/>
    <s v="Laptop i3"/>
    <x v="9"/>
  </r>
  <r>
    <x v="17"/>
    <s v="José Almanares"/>
    <x v="2"/>
    <s v="Pantalla 42"/>
    <x v="3"/>
  </r>
  <r>
    <x v="18"/>
    <s v="Carlos Vasquez"/>
    <x v="3"/>
    <s v="USB 3.0.1"/>
    <x v="9"/>
  </r>
  <r>
    <x v="19"/>
    <s v="Juan Carlos"/>
    <x v="2"/>
    <s v="Pantalla 42"/>
    <x v="3"/>
  </r>
  <r>
    <x v="20"/>
    <s v="Pedro Noriega"/>
    <x v="0"/>
    <s v="Laptop i7"/>
    <x v="6"/>
  </r>
  <r>
    <x v="21"/>
    <s v="José Almanares"/>
    <x v="0"/>
    <s v="Pantalla 42"/>
    <x v="3"/>
  </r>
  <r>
    <x v="22"/>
    <s v="Carlos Vasquez"/>
    <x v="1"/>
    <s v="Impresora "/>
    <x v="3"/>
  </r>
  <r>
    <x v="23"/>
    <s v="Juan Carlos"/>
    <x v="0"/>
    <s v="Laptop i3"/>
    <x v="0"/>
  </r>
  <r>
    <x v="24"/>
    <s v="Pedro Noriega"/>
    <x v="3"/>
    <s v="Laptop i5"/>
    <x v="2"/>
  </r>
  <r>
    <x v="25"/>
    <s v="José Almanares"/>
    <x v="1"/>
    <s v="USB 3.0.1"/>
    <x v="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x v="0"/>
    <s v="Laptop i3"/>
    <n v="1000"/>
  </r>
  <r>
    <x v="1"/>
    <x v="1"/>
    <x v="1"/>
    <s v="Impresora "/>
    <n v="200"/>
  </r>
  <r>
    <x v="2"/>
    <x v="2"/>
    <x v="1"/>
    <s v="Laptop i5"/>
    <n v="3500"/>
  </r>
  <r>
    <x v="3"/>
    <x v="3"/>
    <x v="2"/>
    <s v="Impresora "/>
    <n v="100"/>
  </r>
  <r>
    <x v="4"/>
    <x v="0"/>
    <x v="0"/>
    <s v="Pantalla 42"/>
    <n v="100"/>
  </r>
  <r>
    <x v="5"/>
    <x v="1"/>
    <x v="2"/>
    <s v="Teclado"/>
    <n v="20"/>
  </r>
  <r>
    <x v="5"/>
    <x v="2"/>
    <x v="2"/>
    <s v="Mouse"/>
    <n v="10"/>
  </r>
  <r>
    <x v="6"/>
    <x v="3"/>
    <x v="0"/>
    <s v="Teclado"/>
    <n v="20"/>
  </r>
  <r>
    <x v="7"/>
    <x v="3"/>
    <x v="3"/>
    <s v="Laptop i7"/>
    <n v="4000"/>
  </r>
  <r>
    <x v="8"/>
    <x v="0"/>
    <x v="2"/>
    <s v="Laptop i7"/>
    <n v="4000"/>
  </r>
  <r>
    <x v="9"/>
    <x v="1"/>
    <x v="2"/>
    <s v="Pantalla 17"/>
    <n v="180"/>
  </r>
  <r>
    <x v="8"/>
    <x v="2"/>
    <x v="0"/>
    <s v="Mouse"/>
    <n v="10"/>
  </r>
  <r>
    <x v="7"/>
    <x v="3"/>
    <x v="3"/>
    <s v="Teclado"/>
    <n v="30"/>
  </r>
  <r>
    <x v="10"/>
    <x v="0"/>
    <x v="1"/>
    <s v="Laptop i3"/>
    <n v="1000"/>
  </r>
  <r>
    <x v="11"/>
    <x v="1"/>
    <x v="2"/>
    <s v="USB 3.0.1"/>
    <n v="15"/>
  </r>
  <r>
    <x v="12"/>
    <x v="2"/>
    <x v="0"/>
    <s v="Laptop i7"/>
    <n v="4000"/>
  </r>
  <r>
    <x v="13"/>
    <x v="3"/>
    <x v="2"/>
    <s v="USB 3.0.1"/>
    <n v="15"/>
  </r>
  <r>
    <x v="14"/>
    <x v="0"/>
    <x v="0"/>
    <s v="Impresora "/>
    <n v="100"/>
  </r>
  <r>
    <x v="15"/>
    <x v="1"/>
    <x v="3"/>
    <s v="Pantalla 42"/>
    <n v="100"/>
  </r>
  <r>
    <x v="16"/>
    <x v="2"/>
    <x v="0"/>
    <s v="Laptop i3"/>
    <n v="15"/>
  </r>
  <r>
    <x v="17"/>
    <x v="3"/>
    <x v="2"/>
    <s v="Pantalla 42"/>
    <n v="100"/>
  </r>
  <r>
    <x v="18"/>
    <x v="0"/>
    <x v="3"/>
    <s v="USB 3.0.1"/>
    <n v="15"/>
  </r>
  <r>
    <x v="19"/>
    <x v="1"/>
    <x v="2"/>
    <s v="Pantalla 42"/>
    <n v="100"/>
  </r>
  <r>
    <x v="20"/>
    <x v="2"/>
    <x v="0"/>
    <s v="Laptop i7"/>
    <n v="4000"/>
  </r>
  <r>
    <x v="21"/>
    <x v="3"/>
    <x v="0"/>
    <s v="Pantalla 42"/>
    <n v="100"/>
  </r>
  <r>
    <x v="22"/>
    <x v="0"/>
    <x v="1"/>
    <s v="Impresora "/>
    <n v="100"/>
  </r>
  <r>
    <x v="23"/>
    <x v="1"/>
    <x v="0"/>
    <s v="Laptop i3"/>
    <n v="1000"/>
  </r>
  <r>
    <x v="24"/>
    <x v="2"/>
    <x v="3"/>
    <s v="Laptop i5"/>
    <n v="3500"/>
  </r>
  <r>
    <x v="25"/>
    <x v="3"/>
    <x v="1"/>
    <s v="USB 3.0.1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92EE7-E2B4-4F75-98BE-A765B31676BE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9">
  <location ref="A3:F10" firstHeaderRow="1" firstDataRow="2" firstDataCol="1"/>
  <pivotFields count="7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numFmtId="164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de Total" fld="4" baseField="2" baseItem="0" numFmtId="165"/>
  </dataFields>
  <formats count="1">
    <format dxfId="23">
      <pivotArea outline="0" collapsedLevelsAreSubtotals="1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0223D-C57F-4BAE-96BD-7EF6A6F0A6FC}" name="TablaDiná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F9" firstHeaderRow="1" firstDataRow="2" firstDataCol="1"/>
  <pivotFields count="7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showAll="0"/>
    <pivotField showAll="0"/>
    <pivotField dataField="1" numFmtId="164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3">
    <field x="6"/>
    <field x="5"/>
    <field x="0"/>
  </rowFields>
  <rowItems count="5">
    <i>
      <x v="1"/>
    </i>
    <i>
      <x v="2"/>
    </i>
    <i>
      <x v="3"/>
    </i>
    <i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de Total" fld="4" baseField="0" baseItem="0" numFmtId="165"/>
  </dataFields>
  <formats count="1"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7143E-32D9-4F59-9EEB-48701E241957}" name="TablaDiná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F9" firstHeaderRow="1" firstDataRow="2" firstDataCol="1"/>
  <pivotFields count="7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showAll="0"/>
    <pivotField dataField="1" showAll="0"/>
    <pivotField numFmtId="164"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8">
        <item sd="0" x="0"/>
        <item sd="0" x="1"/>
        <item sd="0" x="2"/>
        <item sd="0" x="3"/>
        <item sd="0" x="4"/>
        <item sd="0" x="5"/>
        <item sd="0" x="6"/>
        <item sd="0" x="7"/>
      </items>
    </pivotField>
  </pivotFields>
  <rowFields count="3">
    <field x="6"/>
    <field x="5"/>
    <field x="0"/>
  </rowFields>
  <rowItems count="5">
    <i>
      <x v="1"/>
    </i>
    <i>
      <x v="2"/>
    </i>
    <i>
      <x v="3"/>
    </i>
    <i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Producto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4AA1A-D655-4B2F-94E4-9B05BE7D4167}" name="TablaDinámica4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F8" firstHeaderRow="1" firstDataRow="2" firstDataCol="1"/>
  <pivotFields count="7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dataField="1" numFmtId="164" showAll="0">
      <items count="11">
        <item x="5"/>
        <item x="9"/>
        <item x="4"/>
        <item x="8"/>
        <item x="3"/>
        <item x="7"/>
        <item x="1"/>
        <item x="0"/>
        <item x="2"/>
        <item x="6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6"/>
    <field x="0"/>
  </rowFields>
  <rowItems count="4"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a de Importe" fld="4" baseField="0" baseItem="0" numFmtId="165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62422-5533-4DD6-A800-BFE24C56D34C}" name="TablaDinámica5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2">
  <location ref="A3:F8" firstHeaderRow="1" firstDataRow="2" firstDataCol="1" rowPageCount="1" colPageCount="1"/>
  <pivotFields count="7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showAll="0"/>
    <pivotField dataField="1"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6"/>
    <field x="0"/>
  </rowFields>
  <rowItems count="4"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2" hier="-1"/>
  </pageFields>
  <dataFields count="1">
    <dataField name="Máx. de Importe" fld="4" subtotal="max" baseField="6" baseItem="1" numFmtId="165"/>
  </dataFields>
  <formats count="1">
    <format dxfId="7">
      <pivotArea outline="0" collapsedLevelsAreSubtotals="1" fieldPosition="0"/>
    </format>
  </formats>
  <chartFormats count="4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DA8A3E-5B38-47CE-ABE5-E5E714852A21}" name="tablita1" displayName="tablita1" ref="B2:F40" totalsRowShown="0" headerRowDxfId="21">
  <autoFilter ref="B2:F40" xr:uid="{8DDA8A3E-5B38-47CE-ABE5-E5E714852A21}"/>
  <tableColumns count="5">
    <tableColumn id="1" xr3:uid="{77E908C9-D69E-4840-BB15-9972B4815E14}" name="Fecha" dataDxfId="20"/>
    <tableColumn id="2" xr3:uid="{86379382-E222-4313-8434-ED52CCB8A8F0}" name="Nombre Vendedor" dataDxfId="19"/>
    <tableColumn id="3" xr3:uid="{B91CD35C-E618-45D2-85E0-930D33B511DE}" name="Venta-Tienda" dataDxfId="18"/>
    <tableColumn id="4" xr3:uid="{3BFB5214-450B-44DF-A635-023ABAB184F3}" name="Producto" dataDxfId="17"/>
    <tableColumn id="5" xr3:uid="{3487424C-852A-4964-AEA9-898F8AEEE801}" name="Total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4289A3-5538-4A2F-9263-416F409A7EE1}" name="Tablita2" displayName="Tablita2" ref="B2:F31" totalsRowShown="0" headerRowDxfId="14" tableBorderDxfId="13">
  <autoFilter ref="B2:F31" xr:uid="{CA4289A3-5538-4A2F-9263-416F409A7EE1}"/>
  <tableColumns count="5">
    <tableColumn id="1" xr3:uid="{CE951236-E957-422B-9BDE-A78F027FF71C}" name="Fecha" dataDxfId="12"/>
    <tableColumn id="2" xr3:uid="{1B9961EA-CA20-4BD1-9F35-56D754670337}" name="Vendedor" dataDxfId="11"/>
    <tableColumn id="3" xr3:uid="{ADDA08E1-FC60-40CE-8A24-8A853B85A7E1}" name="Tienda" dataDxfId="10"/>
    <tableColumn id="4" xr3:uid="{59E524E4-048A-443F-8F99-382043C39957}" name="Producto" dataDxfId="9"/>
    <tableColumn id="5" xr3:uid="{7D9C0274-7BA5-421B-BC54-9B8EA0151C19}" name="Importe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FE9F10-ABEC-407B-9C37-BD79A6A20DB6}" name="tablita3" displayName="tablita3" ref="B2:F31" totalsRowShown="0" headerRowDxfId="6" tableBorderDxfId="5">
  <autoFilter ref="B2:F31" xr:uid="{FBFE9F10-ABEC-407B-9C37-BD79A6A20DB6}"/>
  <tableColumns count="5">
    <tableColumn id="1" xr3:uid="{8E884F0C-9CC7-4D4D-B168-B7AD2FE41DC2}" name="Fecha" dataDxfId="4"/>
    <tableColumn id="2" xr3:uid="{53DA80B0-8847-48D1-963C-DCF43C6A1DF8}" name="Vendedor" dataDxfId="3"/>
    <tableColumn id="3" xr3:uid="{663F76EE-FFB7-438B-8BE6-8367B51C6CD0}" name="Tienda" dataDxfId="2"/>
    <tableColumn id="4" xr3:uid="{8148F70E-AAFA-405F-B3D1-1021B1C39F0E}" name="Producto" dataDxfId="1"/>
    <tableColumn id="5" xr3:uid="{4886D771-C8ED-451C-A639-93E0A16C062A}" name="Impor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5465C-EB30-4D8A-83C4-89D350DDD744}">
  <sheetPr codeName="Hoja1"/>
  <dimension ref="B1:T242"/>
  <sheetViews>
    <sheetView showGridLines="0" topLeftCell="A217" zoomScale="115" zoomScaleNormal="115" workbookViewId="0">
      <selection activeCell="D7" sqref="D7"/>
    </sheetView>
  </sheetViews>
  <sheetFormatPr baseColWidth="10" defaultRowHeight="14.6" x14ac:dyDescent="0.4"/>
  <cols>
    <col min="1" max="1" width="6.15234375" customWidth="1"/>
  </cols>
  <sheetData>
    <row r="1" spans="2:9" s="4" customFormat="1" ht="18.45" x14ac:dyDescent="0.5"/>
    <row r="2" spans="2:9" s="4" customFormat="1" ht="18.45" x14ac:dyDescent="0.5"/>
    <row r="3" spans="2:9" s="4" customFormat="1" ht="18.45" x14ac:dyDescent="0.5"/>
    <row r="4" spans="2:9" s="4" customFormat="1" ht="20.6" x14ac:dyDescent="0.55000000000000004">
      <c r="B4" s="5">
        <v>1</v>
      </c>
      <c r="C4" s="9" t="s">
        <v>17</v>
      </c>
    </row>
    <row r="5" spans="2:9" s="4" customFormat="1" ht="18.45" x14ac:dyDescent="0.5"/>
    <row r="6" spans="2:9" s="4" customFormat="1" ht="18.45" x14ac:dyDescent="0.5">
      <c r="C6" s="10" t="s">
        <v>18</v>
      </c>
      <c r="D6" s="10" t="s">
        <v>19</v>
      </c>
      <c r="E6" s="10" t="s">
        <v>20</v>
      </c>
      <c r="F6" s="10" t="s">
        <v>21</v>
      </c>
      <c r="I6" s="10"/>
    </row>
    <row r="7" spans="2:9" s="4" customFormat="1" ht="18.45" x14ac:dyDescent="0.5">
      <c r="C7" s="11" t="s">
        <v>22</v>
      </c>
      <c r="D7" s="11">
        <v>20</v>
      </c>
      <c r="E7" s="11">
        <v>1500</v>
      </c>
      <c r="F7" s="11">
        <f>E7*3</f>
        <v>4500</v>
      </c>
      <c r="I7" s="11"/>
    </row>
    <row r="8" spans="2:9" s="4" customFormat="1" ht="18.45" x14ac:dyDescent="0.5">
      <c r="C8" s="11" t="s">
        <v>23</v>
      </c>
      <c r="D8" s="11">
        <v>22</v>
      </c>
      <c r="E8" s="11">
        <v>2000</v>
      </c>
      <c r="F8" s="11">
        <f t="shared" ref="F8:F10" si="0">E8*3</f>
        <v>6000</v>
      </c>
      <c r="H8" s="6" t="s">
        <v>25</v>
      </c>
      <c r="I8" s="11"/>
    </row>
    <row r="9" spans="2:9" s="4" customFormat="1" ht="18.45" x14ac:dyDescent="0.5">
      <c r="C9" s="11" t="s">
        <v>24</v>
      </c>
      <c r="D9" s="11">
        <v>23</v>
      </c>
      <c r="E9" s="11">
        <v>5000</v>
      </c>
      <c r="F9" s="11">
        <f t="shared" si="0"/>
        <v>15000</v>
      </c>
      <c r="I9" s="11"/>
    </row>
    <row r="10" spans="2:9" s="4" customFormat="1" ht="18.45" x14ac:dyDescent="0.5">
      <c r="C10" s="11" t="s">
        <v>22</v>
      </c>
      <c r="D10" s="11">
        <v>20</v>
      </c>
      <c r="E10" s="11">
        <v>3500</v>
      </c>
      <c r="F10" s="11">
        <f t="shared" si="0"/>
        <v>10500</v>
      </c>
      <c r="I10" s="11"/>
    </row>
    <row r="11" spans="2:9" s="4" customFormat="1" ht="18.45" x14ac:dyDescent="0.5">
      <c r="C11" s="11"/>
      <c r="D11" s="11"/>
      <c r="E11" s="11"/>
      <c r="F11" s="11"/>
    </row>
    <row r="12" spans="2:9" s="4" customFormat="1" ht="18.45" x14ac:dyDescent="0.5">
      <c r="B12" s="5">
        <v>2</v>
      </c>
      <c r="C12" s="3" t="s">
        <v>26</v>
      </c>
    </row>
    <row r="13" spans="2:9" s="4" customFormat="1" ht="18.45" x14ac:dyDescent="0.5"/>
    <row r="14" spans="2:9" ht="18.45" x14ac:dyDescent="0.45">
      <c r="B14" s="5">
        <v>3</v>
      </c>
      <c r="C14" s="3" t="s">
        <v>27</v>
      </c>
    </row>
    <row r="15" spans="2:9" ht="15.9" x14ac:dyDescent="0.45">
      <c r="C15" s="7" t="s">
        <v>28</v>
      </c>
    </row>
    <row r="24" spans="2:3" ht="18.45" x14ac:dyDescent="0.45">
      <c r="B24" s="5">
        <v>4</v>
      </c>
      <c r="C24" s="3" t="s">
        <v>29</v>
      </c>
    </row>
    <row r="35" spans="2:3" ht="18.45" x14ac:dyDescent="0.45">
      <c r="B35" s="5">
        <v>5</v>
      </c>
      <c r="C35" s="3" t="s">
        <v>30</v>
      </c>
    </row>
    <row r="37" spans="2:3" x14ac:dyDescent="0.4">
      <c r="C37" s="2" t="s">
        <v>31</v>
      </c>
    </row>
    <row r="53" spans="3:3" x14ac:dyDescent="0.4">
      <c r="C53" s="2" t="s">
        <v>32</v>
      </c>
    </row>
    <row r="98" spans="2:3" ht="18.45" x14ac:dyDescent="0.45">
      <c r="B98" s="5">
        <v>6</v>
      </c>
      <c r="C98" s="3" t="s">
        <v>33</v>
      </c>
    </row>
    <row r="100" spans="2:3" ht="15.9" x14ac:dyDescent="0.45">
      <c r="C100" s="7" t="s">
        <v>34</v>
      </c>
    </row>
    <row r="135" spans="2:3" ht="18.45" x14ac:dyDescent="0.45">
      <c r="B135" s="5">
        <v>7</v>
      </c>
      <c r="C135" s="3" t="s">
        <v>35</v>
      </c>
    </row>
    <row r="137" spans="2:3" x14ac:dyDescent="0.4">
      <c r="C137" t="s">
        <v>36</v>
      </c>
    </row>
    <row r="179" spans="2:3" ht="18.45" x14ac:dyDescent="0.45">
      <c r="B179" s="5">
        <v>8</v>
      </c>
      <c r="C179" s="3" t="s">
        <v>37</v>
      </c>
    </row>
    <row r="181" spans="2:3" x14ac:dyDescent="0.4">
      <c r="C181" s="8" t="s">
        <v>38</v>
      </c>
    </row>
    <row r="198" spans="16:20" x14ac:dyDescent="0.4">
      <c r="P198" s="37" t="s">
        <v>39</v>
      </c>
      <c r="Q198" s="37"/>
      <c r="R198" s="37"/>
      <c r="S198" s="37"/>
      <c r="T198" s="37"/>
    </row>
    <row r="217" spans="2:3" ht="18.45" x14ac:dyDescent="0.45">
      <c r="B217" s="5">
        <v>9</v>
      </c>
      <c r="C217" s="3" t="s">
        <v>40</v>
      </c>
    </row>
    <row r="220" spans="2:3" ht="18.45" x14ac:dyDescent="0.45">
      <c r="B220" s="5">
        <v>10</v>
      </c>
      <c r="C220" s="3" t="s">
        <v>41</v>
      </c>
    </row>
    <row r="242" spans="2:3" ht="18.45" x14ac:dyDescent="0.45">
      <c r="B242" s="5">
        <v>11</v>
      </c>
      <c r="C242" s="3" t="s">
        <v>42</v>
      </c>
    </row>
  </sheetData>
  <mergeCells count="1">
    <mergeCell ref="P198:T19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894E-3E48-442E-B8A9-9BBB16B4EEFA}">
  <dimension ref="A3:F10"/>
  <sheetViews>
    <sheetView workbookViewId="0">
      <selection activeCell="A4" sqref="A4:F10"/>
    </sheetView>
  </sheetViews>
  <sheetFormatPr baseColWidth="10" defaultRowHeight="14.6" x14ac:dyDescent="0.4"/>
  <cols>
    <col min="1" max="1" width="17.53515625" bestFit="1" customWidth="1"/>
    <col min="2" max="2" width="22.3828125" bestFit="1" customWidth="1"/>
    <col min="3" max="3" width="14.69140625" bestFit="1" customWidth="1"/>
    <col min="4" max="4" width="12.3046875" bestFit="1" customWidth="1"/>
    <col min="5" max="5" width="13.69140625" bestFit="1" customWidth="1"/>
    <col min="6" max="6" width="12.53515625" bestFit="1" customWidth="1"/>
  </cols>
  <sheetData>
    <row r="3" spans="1:6" x14ac:dyDescent="0.4">
      <c r="A3" s="32" t="s">
        <v>56</v>
      </c>
      <c r="B3" s="32" t="s">
        <v>55</v>
      </c>
    </row>
    <row r="4" spans="1:6" x14ac:dyDescent="0.4">
      <c r="A4" s="32" t="s">
        <v>53</v>
      </c>
      <c r="B4" t="s">
        <v>45</v>
      </c>
      <c r="C4" t="s">
        <v>8</v>
      </c>
      <c r="D4" t="s">
        <v>46</v>
      </c>
      <c r="E4" t="s">
        <v>6</v>
      </c>
      <c r="F4" t="s">
        <v>54</v>
      </c>
    </row>
    <row r="5" spans="1:6" x14ac:dyDescent="0.4">
      <c r="A5" s="33" t="s">
        <v>2</v>
      </c>
      <c r="B5" s="35">
        <v>1200</v>
      </c>
      <c r="C5" s="35">
        <v>525</v>
      </c>
      <c r="D5" s="35">
        <v>2850</v>
      </c>
      <c r="E5" s="35">
        <v>18725</v>
      </c>
      <c r="F5" s="35">
        <v>23300</v>
      </c>
    </row>
    <row r="6" spans="1:6" x14ac:dyDescent="0.4">
      <c r="A6" s="33" t="s">
        <v>4</v>
      </c>
      <c r="B6" s="35">
        <v>2005</v>
      </c>
      <c r="C6" s="35">
        <v>15</v>
      </c>
      <c r="D6" s="35">
        <v>200</v>
      </c>
      <c r="E6" s="35">
        <v>3500</v>
      </c>
      <c r="F6" s="35">
        <v>5720</v>
      </c>
    </row>
    <row r="7" spans="1:6" x14ac:dyDescent="0.4">
      <c r="A7" s="33" t="s">
        <v>9</v>
      </c>
      <c r="B7" s="35">
        <v>4000</v>
      </c>
      <c r="C7" s="35">
        <v>215</v>
      </c>
      <c r="D7" s="35">
        <v>315</v>
      </c>
      <c r="E7" s="35">
        <v>10</v>
      </c>
      <c r="F7" s="35">
        <v>4540</v>
      </c>
    </row>
    <row r="8" spans="1:6" x14ac:dyDescent="0.4">
      <c r="A8" s="33" t="s">
        <v>13</v>
      </c>
      <c r="B8" s="35">
        <v>15</v>
      </c>
      <c r="C8" s="35">
        <v>4030</v>
      </c>
      <c r="D8" s="35">
        <v>100</v>
      </c>
      <c r="E8" s="35">
        <v>3500</v>
      </c>
      <c r="F8" s="35">
        <v>7645</v>
      </c>
    </row>
    <row r="9" spans="1:6" x14ac:dyDescent="0.4">
      <c r="A9" s="33" t="s">
        <v>52</v>
      </c>
      <c r="B9" s="35">
        <v>955</v>
      </c>
      <c r="C9" s="35"/>
      <c r="D9" s="35"/>
      <c r="E9" s="35"/>
      <c r="F9" s="35">
        <v>955</v>
      </c>
    </row>
    <row r="10" spans="1:6" x14ac:dyDescent="0.4">
      <c r="A10" s="33" t="s">
        <v>54</v>
      </c>
      <c r="B10" s="35">
        <v>8175</v>
      </c>
      <c r="C10" s="35">
        <v>4785</v>
      </c>
      <c r="D10" s="35">
        <v>3465</v>
      </c>
      <c r="E10" s="35">
        <v>25735</v>
      </c>
      <c r="F10" s="35">
        <v>42160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B5ED5-DACA-425A-9103-4177390F4E79}">
  <dimension ref="A3:F9"/>
  <sheetViews>
    <sheetView workbookViewId="0">
      <selection activeCell="B5" sqref="B5:F9"/>
    </sheetView>
  </sheetViews>
  <sheetFormatPr baseColWidth="10" defaultRowHeight="14.6" x14ac:dyDescent="0.4"/>
  <cols>
    <col min="1" max="1" width="17.53515625" bestFit="1" customWidth="1"/>
    <col min="2" max="2" width="22.3828125" bestFit="1" customWidth="1"/>
    <col min="3" max="3" width="14.69140625" bestFit="1" customWidth="1"/>
    <col min="4" max="4" width="12.3046875" bestFit="1" customWidth="1"/>
    <col min="5" max="5" width="13.69140625" bestFit="1" customWidth="1"/>
    <col min="6" max="6" width="12.53515625" bestFit="1" customWidth="1"/>
  </cols>
  <sheetData>
    <row r="3" spans="1:6" x14ac:dyDescent="0.4">
      <c r="A3" s="32" t="s">
        <v>56</v>
      </c>
      <c r="B3" s="32" t="s">
        <v>55</v>
      </c>
    </row>
    <row r="4" spans="1:6" x14ac:dyDescent="0.4">
      <c r="A4" s="32" t="s">
        <v>53</v>
      </c>
      <c r="B4" t="s">
        <v>45</v>
      </c>
      <c r="C4" t="s">
        <v>8</v>
      </c>
      <c r="D4" t="s">
        <v>46</v>
      </c>
      <c r="E4" t="s">
        <v>6</v>
      </c>
      <c r="F4" t="s">
        <v>54</v>
      </c>
    </row>
    <row r="5" spans="1:6" x14ac:dyDescent="0.4">
      <c r="A5" s="33" t="s">
        <v>57</v>
      </c>
      <c r="B5" s="35">
        <v>5100</v>
      </c>
      <c r="C5" s="35">
        <v>4150</v>
      </c>
      <c r="D5" s="35">
        <v>400</v>
      </c>
      <c r="E5" s="35">
        <v>3520</v>
      </c>
      <c r="F5" s="35">
        <v>13170</v>
      </c>
    </row>
    <row r="6" spans="1:6" x14ac:dyDescent="0.4">
      <c r="A6" s="33" t="s">
        <v>58</v>
      </c>
      <c r="B6" s="35">
        <v>1215</v>
      </c>
      <c r="C6" s="35">
        <v>215</v>
      </c>
      <c r="D6" s="35">
        <v>215</v>
      </c>
      <c r="E6" s="35">
        <v>8015</v>
      </c>
      <c r="F6" s="35">
        <v>9660</v>
      </c>
    </row>
    <row r="7" spans="1:6" x14ac:dyDescent="0.4">
      <c r="A7" s="33" t="s">
        <v>59</v>
      </c>
      <c r="B7" s="35">
        <v>905</v>
      </c>
      <c r="C7" s="35">
        <v>420</v>
      </c>
      <c r="D7" s="35">
        <v>2850</v>
      </c>
      <c r="E7" s="35">
        <v>14200</v>
      </c>
      <c r="F7" s="35">
        <v>18375</v>
      </c>
    </row>
    <row r="8" spans="1:6" x14ac:dyDescent="0.4">
      <c r="A8" s="33" t="s">
        <v>60</v>
      </c>
      <c r="B8" s="35">
        <v>955</v>
      </c>
      <c r="C8" s="35"/>
      <c r="D8" s="35"/>
      <c r="E8" s="35"/>
      <c r="F8" s="35">
        <v>955</v>
      </c>
    </row>
    <row r="9" spans="1:6" x14ac:dyDescent="0.4">
      <c r="A9" s="33" t="s">
        <v>54</v>
      </c>
      <c r="B9" s="35">
        <v>8175</v>
      </c>
      <c r="C9" s="35">
        <v>4785</v>
      </c>
      <c r="D9" s="35">
        <v>3465</v>
      </c>
      <c r="E9" s="35">
        <v>25735</v>
      </c>
      <c r="F9" s="35">
        <v>42160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F146-D402-41BE-A1DC-7B8F90EA0C9C}">
  <dimension ref="A3:F9"/>
  <sheetViews>
    <sheetView workbookViewId="0">
      <selection activeCell="G38" sqref="G38"/>
    </sheetView>
  </sheetViews>
  <sheetFormatPr baseColWidth="10" defaultRowHeight="14.6" x14ac:dyDescent="0.4"/>
  <cols>
    <col min="1" max="1" width="18.53515625" bestFit="1" customWidth="1"/>
    <col min="2" max="2" width="22.3828125" bestFit="1" customWidth="1"/>
    <col min="3" max="3" width="14.69140625" bestFit="1" customWidth="1"/>
    <col min="4" max="4" width="12.3046875" bestFit="1" customWidth="1"/>
    <col min="5" max="5" width="13.69140625" bestFit="1" customWidth="1"/>
    <col min="6" max="6" width="12.53515625" bestFit="1" customWidth="1"/>
  </cols>
  <sheetData>
    <row r="3" spans="1:6" x14ac:dyDescent="0.4">
      <c r="A3" s="32" t="s">
        <v>61</v>
      </c>
      <c r="B3" s="32" t="s">
        <v>55</v>
      </c>
    </row>
    <row r="4" spans="1:6" x14ac:dyDescent="0.4">
      <c r="A4" s="32" t="s">
        <v>53</v>
      </c>
      <c r="B4" t="s">
        <v>45</v>
      </c>
      <c r="C4" t="s">
        <v>8</v>
      </c>
      <c r="D4" t="s">
        <v>46</v>
      </c>
      <c r="E4" t="s">
        <v>6</v>
      </c>
      <c r="F4" t="s">
        <v>54</v>
      </c>
    </row>
    <row r="5" spans="1:6" x14ac:dyDescent="0.4">
      <c r="A5" s="33" t="s">
        <v>57</v>
      </c>
      <c r="B5" s="34">
        <v>3</v>
      </c>
      <c r="C5" s="34">
        <v>4</v>
      </c>
      <c r="D5" s="34">
        <v>3</v>
      </c>
      <c r="E5" s="34">
        <v>3</v>
      </c>
      <c r="F5" s="34">
        <v>13</v>
      </c>
    </row>
    <row r="6" spans="1:6" x14ac:dyDescent="0.4">
      <c r="A6" s="33" t="s">
        <v>58</v>
      </c>
      <c r="B6" s="34">
        <v>4</v>
      </c>
      <c r="C6" s="34">
        <v>3</v>
      </c>
      <c r="D6" s="34">
        <v>3</v>
      </c>
      <c r="E6" s="34">
        <v>3</v>
      </c>
      <c r="F6" s="34">
        <v>13</v>
      </c>
    </row>
    <row r="7" spans="1:6" x14ac:dyDescent="0.4">
      <c r="A7" s="33" t="s">
        <v>59</v>
      </c>
      <c r="B7" s="34">
        <v>2</v>
      </c>
      <c r="C7" s="34">
        <v>3</v>
      </c>
      <c r="D7" s="34">
        <v>3</v>
      </c>
      <c r="E7" s="34">
        <v>3</v>
      </c>
      <c r="F7" s="34">
        <v>11</v>
      </c>
    </row>
    <row r="8" spans="1:6" x14ac:dyDescent="0.4">
      <c r="A8" s="33" t="s">
        <v>60</v>
      </c>
      <c r="B8" s="34">
        <v>1</v>
      </c>
      <c r="C8" s="34"/>
      <c r="D8" s="34"/>
      <c r="E8" s="34"/>
      <c r="F8" s="34">
        <v>1</v>
      </c>
    </row>
    <row r="9" spans="1:6" x14ac:dyDescent="0.4">
      <c r="A9" s="33" t="s">
        <v>54</v>
      </c>
      <c r="B9" s="34">
        <v>10</v>
      </c>
      <c r="C9" s="34">
        <v>10</v>
      </c>
      <c r="D9" s="34">
        <v>9</v>
      </c>
      <c r="E9" s="34">
        <v>9</v>
      </c>
      <c r="F9" s="34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FB06-E26B-468E-8355-20C642F6AEE4}">
  <sheetPr codeName="Hoja2"/>
  <dimension ref="B2:F40"/>
  <sheetViews>
    <sheetView zoomScale="85" zoomScaleNormal="85" workbookViewId="0">
      <selection activeCell="E2" sqref="E2"/>
    </sheetView>
  </sheetViews>
  <sheetFormatPr baseColWidth="10" defaultRowHeight="14.6" x14ac:dyDescent="0.4"/>
  <cols>
    <col min="1" max="1" width="6.3046875" customWidth="1"/>
    <col min="2" max="2" width="16.84375" customWidth="1"/>
    <col min="3" max="3" width="20.53515625" customWidth="1"/>
    <col min="4" max="4" width="15.84375" customWidth="1"/>
    <col min="5" max="5" width="25" customWidth="1"/>
    <col min="6" max="6" width="18.15234375" style="1" customWidth="1"/>
  </cols>
  <sheetData>
    <row r="2" spans="2:6" x14ac:dyDescent="0.4">
      <c r="B2" s="31" t="s">
        <v>0</v>
      </c>
      <c r="C2" s="31" t="s">
        <v>43</v>
      </c>
      <c r="D2" s="31" t="s">
        <v>44</v>
      </c>
      <c r="E2" s="31" t="s">
        <v>1</v>
      </c>
      <c r="F2" s="31" t="s">
        <v>21</v>
      </c>
    </row>
    <row r="3" spans="2:6" x14ac:dyDescent="0.4">
      <c r="B3" s="26">
        <v>43907</v>
      </c>
      <c r="C3" s="27" t="s">
        <v>45</v>
      </c>
      <c r="D3" s="27" t="s">
        <v>2</v>
      </c>
      <c r="E3" s="27" t="s">
        <v>3</v>
      </c>
      <c r="F3" s="28">
        <v>1000</v>
      </c>
    </row>
    <row r="4" spans="2:6" x14ac:dyDescent="0.4">
      <c r="B4" s="26">
        <v>43910</v>
      </c>
      <c r="C4" s="27" t="s">
        <v>46</v>
      </c>
      <c r="D4" s="27" t="s">
        <v>4</v>
      </c>
      <c r="E4" s="27" t="s">
        <v>5</v>
      </c>
      <c r="F4" s="28">
        <v>200</v>
      </c>
    </row>
    <row r="5" spans="2:6" x14ac:dyDescent="0.4">
      <c r="B5" s="26">
        <v>43912</v>
      </c>
      <c r="C5" s="27" t="s">
        <v>6</v>
      </c>
      <c r="D5" s="27" t="s">
        <v>4</v>
      </c>
      <c r="E5" s="27" t="s">
        <v>7</v>
      </c>
      <c r="F5" s="28">
        <v>3500</v>
      </c>
    </row>
    <row r="6" spans="2:6" x14ac:dyDescent="0.4">
      <c r="B6" s="26">
        <v>43941</v>
      </c>
      <c r="C6" s="27" t="s">
        <v>8</v>
      </c>
      <c r="D6" s="27" t="s">
        <v>9</v>
      </c>
      <c r="E6" s="27" t="s">
        <v>5</v>
      </c>
      <c r="F6" s="28">
        <v>100</v>
      </c>
    </row>
    <row r="7" spans="2:6" x14ac:dyDescent="0.4">
      <c r="B7" s="26">
        <v>43938</v>
      </c>
      <c r="C7" s="27" t="s">
        <v>45</v>
      </c>
      <c r="D7" s="27" t="s">
        <v>2</v>
      </c>
      <c r="E7" s="27" t="s">
        <v>10</v>
      </c>
      <c r="F7" s="28">
        <v>100</v>
      </c>
    </row>
    <row r="8" spans="2:6" x14ac:dyDescent="0.4">
      <c r="B8" s="26">
        <v>43973</v>
      </c>
      <c r="C8" s="27" t="s">
        <v>46</v>
      </c>
      <c r="D8" s="27" t="s">
        <v>9</v>
      </c>
      <c r="E8" s="27" t="s">
        <v>11</v>
      </c>
      <c r="F8" s="28">
        <v>20</v>
      </c>
    </row>
    <row r="9" spans="2:6" x14ac:dyDescent="0.4">
      <c r="B9" s="26">
        <v>43973</v>
      </c>
      <c r="C9" s="27" t="s">
        <v>6</v>
      </c>
      <c r="D9" s="27" t="s">
        <v>9</v>
      </c>
      <c r="E9" s="27" t="s">
        <v>12</v>
      </c>
      <c r="F9" s="28">
        <v>10</v>
      </c>
    </row>
    <row r="10" spans="2:6" x14ac:dyDescent="0.4">
      <c r="B10" s="26">
        <v>43975</v>
      </c>
      <c r="C10" s="27" t="s">
        <v>8</v>
      </c>
      <c r="D10" s="27" t="s">
        <v>2</v>
      </c>
      <c r="E10" s="27" t="s">
        <v>11</v>
      </c>
      <c r="F10" s="28">
        <v>20</v>
      </c>
    </row>
    <row r="11" spans="2:6" x14ac:dyDescent="0.4">
      <c r="B11" s="26">
        <v>43968</v>
      </c>
      <c r="C11" s="27" t="s">
        <v>8</v>
      </c>
      <c r="D11" s="27" t="s">
        <v>13</v>
      </c>
      <c r="E11" s="27" t="s">
        <v>14</v>
      </c>
      <c r="F11" s="28">
        <v>4000</v>
      </c>
    </row>
    <row r="12" spans="2:6" x14ac:dyDescent="0.4">
      <c r="B12" s="26">
        <v>43971</v>
      </c>
      <c r="C12" s="27" t="s">
        <v>45</v>
      </c>
      <c r="D12" s="27" t="s">
        <v>9</v>
      </c>
      <c r="E12" s="27" t="s">
        <v>14</v>
      </c>
      <c r="F12" s="28">
        <v>4000</v>
      </c>
    </row>
    <row r="13" spans="2:6" x14ac:dyDescent="0.4">
      <c r="B13" s="26">
        <v>43978</v>
      </c>
      <c r="C13" s="27" t="s">
        <v>46</v>
      </c>
      <c r="D13" s="27" t="s">
        <v>9</v>
      </c>
      <c r="E13" s="27" t="s">
        <v>15</v>
      </c>
      <c r="F13" s="28">
        <v>180</v>
      </c>
    </row>
    <row r="14" spans="2:6" x14ac:dyDescent="0.4">
      <c r="B14" s="26">
        <v>43971</v>
      </c>
      <c r="C14" s="27" t="s">
        <v>6</v>
      </c>
      <c r="D14" s="27" t="s">
        <v>2</v>
      </c>
      <c r="E14" s="27" t="s">
        <v>12</v>
      </c>
      <c r="F14" s="28">
        <v>10</v>
      </c>
    </row>
    <row r="15" spans="2:6" x14ac:dyDescent="0.4">
      <c r="B15" s="26">
        <v>43968</v>
      </c>
      <c r="C15" s="27" t="s">
        <v>8</v>
      </c>
      <c r="D15" s="27" t="s">
        <v>13</v>
      </c>
      <c r="E15" s="27" t="s">
        <v>11</v>
      </c>
      <c r="F15" s="28">
        <v>30</v>
      </c>
    </row>
    <row r="16" spans="2:6" x14ac:dyDescent="0.4">
      <c r="B16" s="26">
        <v>44334</v>
      </c>
      <c r="C16" s="26" t="s">
        <v>45</v>
      </c>
      <c r="D16" s="27" t="s">
        <v>4</v>
      </c>
      <c r="E16" s="29" t="s">
        <v>3</v>
      </c>
      <c r="F16" s="28">
        <v>1000</v>
      </c>
    </row>
    <row r="17" spans="2:6" x14ac:dyDescent="0.4">
      <c r="B17" s="26">
        <v>44363</v>
      </c>
      <c r="C17" s="26" t="s">
        <v>46</v>
      </c>
      <c r="D17" s="27" t="s">
        <v>9</v>
      </c>
      <c r="E17" s="29" t="s">
        <v>16</v>
      </c>
      <c r="F17" s="30">
        <v>15</v>
      </c>
    </row>
    <row r="18" spans="2:6" x14ac:dyDescent="0.4">
      <c r="B18" s="26">
        <v>44364</v>
      </c>
      <c r="C18" s="26" t="s">
        <v>6</v>
      </c>
      <c r="D18" s="27" t="s">
        <v>2</v>
      </c>
      <c r="E18" s="27" t="s">
        <v>14</v>
      </c>
      <c r="F18" s="28">
        <v>4000</v>
      </c>
    </row>
    <row r="19" spans="2:6" x14ac:dyDescent="0.4">
      <c r="B19" s="26">
        <v>44367</v>
      </c>
      <c r="C19" s="26" t="s">
        <v>8</v>
      </c>
      <c r="D19" s="27" t="s">
        <v>9</v>
      </c>
      <c r="E19" s="29" t="s">
        <v>16</v>
      </c>
      <c r="F19" s="30">
        <v>15</v>
      </c>
    </row>
    <row r="20" spans="2:6" x14ac:dyDescent="0.4">
      <c r="B20" s="26">
        <v>44366</v>
      </c>
      <c r="C20" s="26" t="s">
        <v>45</v>
      </c>
      <c r="D20" s="27" t="s">
        <v>2</v>
      </c>
      <c r="E20" s="27" t="s">
        <v>5</v>
      </c>
      <c r="F20" s="28">
        <v>100</v>
      </c>
    </row>
    <row r="21" spans="2:6" x14ac:dyDescent="0.4">
      <c r="B21" s="26">
        <v>44382</v>
      </c>
      <c r="C21" s="26" t="s">
        <v>46</v>
      </c>
      <c r="D21" s="27" t="s">
        <v>13</v>
      </c>
      <c r="E21" s="27" t="s">
        <v>10</v>
      </c>
      <c r="F21" s="28">
        <v>100</v>
      </c>
    </row>
    <row r="22" spans="2:6" x14ac:dyDescent="0.4">
      <c r="B22" s="26">
        <v>44383</v>
      </c>
      <c r="C22" s="26" t="s">
        <v>6</v>
      </c>
      <c r="D22" s="27" t="s">
        <v>2</v>
      </c>
      <c r="E22" s="29" t="s">
        <v>3</v>
      </c>
      <c r="F22" s="30">
        <v>15</v>
      </c>
    </row>
    <row r="23" spans="2:6" x14ac:dyDescent="0.4">
      <c r="B23" s="26">
        <v>44385</v>
      </c>
      <c r="C23" s="26" t="s">
        <v>8</v>
      </c>
      <c r="D23" s="27" t="s">
        <v>9</v>
      </c>
      <c r="E23" s="27" t="s">
        <v>10</v>
      </c>
      <c r="F23" s="28">
        <v>100</v>
      </c>
    </row>
    <row r="24" spans="2:6" x14ac:dyDescent="0.4">
      <c r="B24" s="26">
        <v>44412</v>
      </c>
      <c r="C24" s="26" t="s">
        <v>45</v>
      </c>
      <c r="D24" s="27" t="s">
        <v>13</v>
      </c>
      <c r="E24" s="29" t="s">
        <v>16</v>
      </c>
      <c r="F24" s="30">
        <v>15</v>
      </c>
    </row>
    <row r="25" spans="2:6" x14ac:dyDescent="0.4">
      <c r="B25" s="26">
        <v>44414</v>
      </c>
      <c r="C25" s="26" t="s">
        <v>46</v>
      </c>
      <c r="D25" s="27" t="s">
        <v>9</v>
      </c>
      <c r="E25" s="27" t="s">
        <v>10</v>
      </c>
      <c r="F25" s="28">
        <v>100</v>
      </c>
    </row>
    <row r="26" spans="2:6" x14ac:dyDescent="0.4">
      <c r="B26" s="26">
        <v>44415</v>
      </c>
      <c r="C26" s="26" t="s">
        <v>6</v>
      </c>
      <c r="D26" s="27" t="s">
        <v>2</v>
      </c>
      <c r="E26" s="27" t="s">
        <v>14</v>
      </c>
      <c r="F26" s="28">
        <v>4000</v>
      </c>
    </row>
    <row r="27" spans="2:6" x14ac:dyDescent="0.4">
      <c r="B27" s="26">
        <v>44440</v>
      </c>
      <c r="C27" s="26" t="s">
        <v>8</v>
      </c>
      <c r="D27" s="27" t="s">
        <v>2</v>
      </c>
      <c r="E27" s="27" t="s">
        <v>10</v>
      </c>
      <c r="F27" s="28">
        <v>100</v>
      </c>
    </row>
    <row r="28" spans="2:6" x14ac:dyDescent="0.4">
      <c r="B28" s="26">
        <v>44443</v>
      </c>
      <c r="C28" s="26" t="s">
        <v>45</v>
      </c>
      <c r="D28" s="27" t="s">
        <v>4</v>
      </c>
      <c r="E28" s="27" t="s">
        <v>5</v>
      </c>
      <c r="F28" s="28">
        <v>100</v>
      </c>
    </row>
    <row r="29" spans="2:6" x14ac:dyDescent="0.4">
      <c r="B29" s="26">
        <v>44809</v>
      </c>
      <c r="C29" s="26" t="s">
        <v>46</v>
      </c>
      <c r="D29" s="27" t="s">
        <v>2</v>
      </c>
      <c r="E29" s="29" t="s">
        <v>3</v>
      </c>
      <c r="F29" s="28">
        <v>1000</v>
      </c>
    </row>
    <row r="30" spans="2:6" x14ac:dyDescent="0.4">
      <c r="B30" s="26">
        <v>44812</v>
      </c>
      <c r="C30" s="26" t="s">
        <v>6</v>
      </c>
      <c r="D30" s="26" t="s">
        <v>13</v>
      </c>
      <c r="E30" s="27" t="s">
        <v>7</v>
      </c>
      <c r="F30" s="28">
        <v>3500</v>
      </c>
    </row>
    <row r="31" spans="2:6" x14ac:dyDescent="0.4">
      <c r="B31" s="26">
        <v>44824</v>
      </c>
      <c r="C31" s="26" t="s">
        <v>8</v>
      </c>
      <c r="D31" s="27" t="s">
        <v>4</v>
      </c>
      <c r="E31" s="29" t="s">
        <v>16</v>
      </c>
      <c r="F31" s="30">
        <v>15</v>
      </c>
    </row>
    <row r="32" spans="2:6" x14ac:dyDescent="0.4">
      <c r="B32" s="26">
        <v>44780</v>
      </c>
      <c r="C32" s="26" t="s">
        <v>6</v>
      </c>
      <c r="D32" s="27" t="s">
        <v>2</v>
      </c>
      <c r="E32" s="27" t="s">
        <v>14</v>
      </c>
      <c r="F32" s="28">
        <v>5500</v>
      </c>
    </row>
    <row r="33" spans="2:6" x14ac:dyDescent="0.4">
      <c r="B33" s="26">
        <v>44805</v>
      </c>
      <c r="C33" s="26" t="s">
        <v>8</v>
      </c>
      <c r="D33" s="27" t="s">
        <v>2</v>
      </c>
      <c r="E33" s="27" t="s">
        <v>10</v>
      </c>
      <c r="F33" s="28">
        <v>255</v>
      </c>
    </row>
    <row r="34" spans="2:6" x14ac:dyDescent="0.4">
      <c r="B34" s="26">
        <v>44808</v>
      </c>
      <c r="C34" s="26" t="s">
        <v>45</v>
      </c>
      <c r="D34" s="27" t="s">
        <v>4</v>
      </c>
      <c r="E34" s="27" t="s">
        <v>5</v>
      </c>
      <c r="F34" s="28">
        <v>550</v>
      </c>
    </row>
    <row r="35" spans="2:6" x14ac:dyDescent="0.4">
      <c r="B35" s="26">
        <v>44809</v>
      </c>
      <c r="C35" s="26" t="s">
        <v>46</v>
      </c>
      <c r="D35" s="27" t="s">
        <v>2</v>
      </c>
      <c r="E35" s="29" t="s">
        <v>3</v>
      </c>
      <c r="F35" s="28">
        <v>895</v>
      </c>
    </row>
    <row r="36" spans="2:6" x14ac:dyDescent="0.4">
      <c r="B36" s="26">
        <v>44780</v>
      </c>
      <c r="C36" s="26" t="s">
        <v>6</v>
      </c>
      <c r="D36" s="27" t="s">
        <v>2</v>
      </c>
      <c r="E36" s="27" t="s">
        <v>14</v>
      </c>
      <c r="F36" s="28">
        <v>5200</v>
      </c>
    </row>
    <row r="37" spans="2:6" x14ac:dyDescent="0.4">
      <c r="B37" s="26">
        <v>44805</v>
      </c>
      <c r="C37" s="26" t="s">
        <v>8</v>
      </c>
      <c r="D37" s="27" t="s">
        <v>2</v>
      </c>
      <c r="E37" s="27" t="s">
        <v>10</v>
      </c>
      <c r="F37" s="28">
        <v>150</v>
      </c>
    </row>
    <row r="38" spans="2:6" x14ac:dyDescent="0.4">
      <c r="B38" s="26">
        <v>44808</v>
      </c>
      <c r="C38" s="26" t="s">
        <v>45</v>
      </c>
      <c r="D38" s="27" t="s">
        <v>4</v>
      </c>
      <c r="E38" s="27" t="s">
        <v>5</v>
      </c>
      <c r="F38" s="28">
        <v>355</v>
      </c>
    </row>
    <row r="39" spans="2:6" x14ac:dyDescent="0.4">
      <c r="B39" s="26">
        <v>44809</v>
      </c>
      <c r="C39" s="26" t="s">
        <v>46</v>
      </c>
      <c r="D39" s="27" t="s">
        <v>2</v>
      </c>
      <c r="E39" s="29" t="s">
        <v>3</v>
      </c>
      <c r="F39" s="28">
        <v>955</v>
      </c>
    </row>
    <row r="40" spans="2:6" x14ac:dyDescent="0.4">
      <c r="B40" s="26">
        <v>45910</v>
      </c>
      <c r="C40" s="26" t="s">
        <v>45</v>
      </c>
      <c r="D40" s="27" t="s">
        <v>52</v>
      </c>
      <c r="E40" s="29" t="s">
        <v>3</v>
      </c>
      <c r="F40" s="28">
        <v>955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85D21-AAE7-4F46-98CC-127353A1289E}">
  <dimension ref="A3:F8"/>
  <sheetViews>
    <sheetView workbookViewId="0">
      <selection activeCell="A5" sqref="A5"/>
    </sheetView>
  </sheetViews>
  <sheetFormatPr baseColWidth="10" defaultRowHeight="14.6" x14ac:dyDescent="0.4"/>
  <cols>
    <col min="1" max="1" width="17.53515625" bestFit="1" customWidth="1"/>
    <col min="2" max="2" width="22.3828125" bestFit="1" customWidth="1"/>
    <col min="3" max="5" width="10.15234375" bestFit="1" customWidth="1"/>
    <col min="6" max="6" width="12.53515625" bestFit="1" customWidth="1"/>
    <col min="7" max="8" width="8.69140625" bestFit="1" customWidth="1"/>
    <col min="9" max="11" width="10.15234375" bestFit="1" customWidth="1"/>
    <col min="12" max="12" width="13.69140625" bestFit="1" customWidth="1"/>
  </cols>
  <sheetData>
    <row r="3" spans="1:6" x14ac:dyDescent="0.4">
      <c r="A3" s="32" t="s">
        <v>65</v>
      </c>
      <c r="B3" s="32" t="s">
        <v>55</v>
      </c>
    </row>
    <row r="4" spans="1:6" x14ac:dyDescent="0.4">
      <c r="A4" s="32" t="s">
        <v>53</v>
      </c>
      <c r="B4" t="s">
        <v>2</v>
      </c>
      <c r="C4" t="s">
        <v>4</v>
      </c>
      <c r="D4" t="s">
        <v>9</v>
      </c>
      <c r="E4" t="s">
        <v>13</v>
      </c>
      <c r="F4" t="s">
        <v>54</v>
      </c>
    </row>
    <row r="5" spans="1:6" x14ac:dyDescent="0.4">
      <c r="A5" s="33" t="s">
        <v>62</v>
      </c>
      <c r="B5" s="35">
        <v>1130</v>
      </c>
      <c r="C5" s="35">
        <v>3700</v>
      </c>
      <c r="D5" s="35">
        <v>4310</v>
      </c>
      <c r="E5" s="35">
        <v>4030</v>
      </c>
      <c r="F5" s="35">
        <v>13170</v>
      </c>
    </row>
    <row r="6" spans="1:6" x14ac:dyDescent="0.4">
      <c r="A6" s="33" t="s">
        <v>63</v>
      </c>
      <c r="B6" s="35">
        <v>8215</v>
      </c>
      <c r="C6" s="35">
        <v>1100</v>
      </c>
      <c r="D6" s="35">
        <v>230</v>
      </c>
      <c r="E6" s="35">
        <v>115</v>
      </c>
      <c r="F6" s="35">
        <v>9660</v>
      </c>
    </row>
    <row r="7" spans="1:6" x14ac:dyDescent="0.4">
      <c r="A7" s="33" t="s">
        <v>64</v>
      </c>
      <c r="B7" s="35">
        <v>1000</v>
      </c>
      <c r="C7" s="35">
        <v>15</v>
      </c>
      <c r="D7" s="35"/>
      <c r="E7" s="35">
        <v>3500</v>
      </c>
      <c r="F7" s="35">
        <v>4515</v>
      </c>
    </row>
    <row r="8" spans="1:6" x14ac:dyDescent="0.4">
      <c r="A8" s="33" t="s">
        <v>54</v>
      </c>
      <c r="B8" s="35">
        <v>10345</v>
      </c>
      <c r="C8" s="35">
        <v>4815</v>
      </c>
      <c r="D8" s="35">
        <v>4540</v>
      </c>
      <c r="E8" s="35">
        <v>7645</v>
      </c>
      <c r="F8" s="35">
        <v>27345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8CD89-271A-4191-9D32-CACB68B93768}">
  <dimension ref="B2:H31"/>
  <sheetViews>
    <sheetView topLeftCell="D37" zoomScale="90" zoomScaleNormal="90" zoomScaleSheetLayoutView="130" workbookViewId="0">
      <selection activeCell="B2" sqref="B2:F31"/>
    </sheetView>
  </sheetViews>
  <sheetFormatPr baseColWidth="10" defaultRowHeight="14.6" x14ac:dyDescent="0.4"/>
  <cols>
    <col min="1" max="1" width="15.3828125" customWidth="1"/>
    <col min="2" max="2" width="18.69140625" customWidth="1"/>
    <col min="3" max="4" width="29" customWidth="1"/>
    <col min="5" max="5" width="21" customWidth="1"/>
    <col min="6" max="6" width="27.84375" customWidth="1"/>
    <col min="8" max="8" width="17.53515625" bestFit="1" customWidth="1"/>
    <col min="9" max="9" width="22.3828125" bestFit="1" customWidth="1"/>
    <col min="10" max="10" width="12.69140625" customWidth="1"/>
    <col min="11" max="11" width="12.15234375" customWidth="1"/>
    <col min="12" max="12" width="14" customWidth="1"/>
    <col min="13" max="13" width="12.53515625" bestFit="1" customWidth="1"/>
  </cols>
  <sheetData>
    <row r="2" spans="2:8" ht="37.5" customHeight="1" x14ac:dyDescent="0.4">
      <c r="B2" s="36" t="s">
        <v>0</v>
      </c>
      <c r="C2" s="36" t="s">
        <v>47</v>
      </c>
      <c r="D2" s="36" t="s">
        <v>48</v>
      </c>
      <c r="E2" s="36" t="s">
        <v>1</v>
      </c>
      <c r="F2" s="36" t="s">
        <v>49</v>
      </c>
      <c r="G2" s="12"/>
    </row>
    <row r="3" spans="2:8" ht="18" customHeight="1" x14ac:dyDescent="0.4">
      <c r="B3" s="13">
        <v>42811</v>
      </c>
      <c r="C3" s="14" t="s">
        <v>50</v>
      </c>
      <c r="D3" s="14" t="s">
        <v>2</v>
      </c>
      <c r="E3" s="14" t="s">
        <v>3</v>
      </c>
      <c r="F3" s="22">
        <v>1000</v>
      </c>
    </row>
    <row r="4" spans="2:8" ht="18" customHeight="1" x14ac:dyDescent="0.4">
      <c r="B4" s="13">
        <v>42814</v>
      </c>
      <c r="C4" s="14" t="s">
        <v>51</v>
      </c>
      <c r="D4" s="14" t="s">
        <v>4</v>
      </c>
      <c r="E4" s="14" t="s">
        <v>5</v>
      </c>
      <c r="F4" s="22">
        <v>200</v>
      </c>
    </row>
    <row r="5" spans="2:8" ht="18" customHeight="1" x14ac:dyDescent="0.4">
      <c r="B5" s="13">
        <v>42816</v>
      </c>
      <c r="C5" s="14" t="s">
        <v>6</v>
      </c>
      <c r="D5" s="14" t="s">
        <v>4</v>
      </c>
      <c r="E5" s="14" t="s">
        <v>7</v>
      </c>
      <c r="F5" s="22">
        <v>3500</v>
      </c>
    </row>
    <row r="6" spans="2:8" ht="18" customHeight="1" x14ac:dyDescent="0.4">
      <c r="B6" s="13">
        <v>42845</v>
      </c>
      <c r="C6" s="14" t="s">
        <v>8</v>
      </c>
      <c r="D6" s="14" t="s">
        <v>9</v>
      </c>
      <c r="E6" s="14" t="s">
        <v>5</v>
      </c>
      <c r="F6" s="22">
        <v>100</v>
      </c>
    </row>
    <row r="7" spans="2:8" ht="18" customHeight="1" x14ac:dyDescent="0.4">
      <c r="B7" s="13">
        <v>42842</v>
      </c>
      <c r="C7" s="14" t="s">
        <v>50</v>
      </c>
      <c r="D7" s="14" t="s">
        <v>2</v>
      </c>
      <c r="E7" s="14" t="s">
        <v>10</v>
      </c>
      <c r="F7" s="22">
        <v>100</v>
      </c>
      <c r="H7" s="15"/>
    </row>
    <row r="8" spans="2:8" ht="18" customHeight="1" x14ac:dyDescent="0.4">
      <c r="B8" s="13">
        <v>42877</v>
      </c>
      <c r="C8" s="14" t="s">
        <v>51</v>
      </c>
      <c r="D8" s="14" t="s">
        <v>9</v>
      </c>
      <c r="E8" s="14" t="s">
        <v>11</v>
      </c>
      <c r="F8" s="22">
        <v>20</v>
      </c>
    </row>
    <row r="9" spans="2:8" ht="18" customHeight="1" x14ac:dyDescent="0.4">
      <c r="B9" s="13">
        <v>42877</v>
      </c>
      <c r="C9" s="14" t="s">
        <v>6</v>
      </c>
      <c r="D9" s="14" t="s">
        <v>9</v>
      </c>
      <c r="E9" s="14" t="s">
        <v>12</v>
      </c>
      <c r="F9" s="22">
        <v>10</v>
      </c>
    </row>
    <row r="10" spans="2:8" ht="18" customHeight="1" x14ac:dyDescent="0.4">
      <c r="B10" s="16">
        <v>42879</v>
      </c>
      <c r="C10" s="17" t="s">
        <v>8</v>
      </c>
      <c r="D10" s="14" t="s">
        <v>2</v>
      </c>
      <c r="E10" s="17" t="s">
        <v>11</v>
      </c>
      <c r="F10" s="23">
        <v>20</v>
      </c>
    </row>
    <row r="11" spans="2:8" ht="18" customHeight="1" x14ac:dyDescent="0.4">
      <c r="B11" s="18">
        <v>42872</v>
      </c>
      <c r="C11" s="19" t="s">
        <v>8</v>
      </c>
      <c r="D11" s="19" t="s">
        <v>13</v>
      </c>
      <c r="E11" s="19" t="s">
        <v>14</v>
      </c>
      <c r="F11" s="24">
        <v>4000</v>
      </c>
    </row>
    <row r="12" spans="2:8" ht="18" customHeight="1" x14ac:dyDescent="0.4">
      <c r="B12" s="18">
        <v>42875</v>
      </c>
      <c r="C12" s="19" t="s">
        <v>50</v>
      </c>
      <c r="D12" s="14" t="s">
        <v>9</v>
      </c>
      <c r="E12" s="19" t="s">
        <v>14</v>
      </c>
      <c r="F12" s="24">
        <v>4000</v>
      </c>
    </row>
    <row r="13" spans="2:8" ht="18" customHeight="1" x14ac:dyDescent="0.4">
      <c r="B13" s="18">
        <v>42882</v>
      </c>
      <c r="C13" s="19" t="s">
        <v>51</v>
      </c>
      <c r="D13" s="14" t="s">
        <v>9</v>
      </c>
      <c r="E13" s="19" t="s">
        <v>15</v>
      </c>
      <c r="F13" s="24">
        <v>180</v>
      </c>
    </row>
    <row r="14" spans="2:8" ht="18" customHeight="1" x14ac:dyDescent="0.4">
      <c r="B14" s="18">
        <v>42875</v>
      </c>
      <c r="C14" s="19" t="s">
        <v>6</v>
      </c>
      <c r="D14" s="14" t="s">
        <v>2</v>
      </c>
      <c r="E14" s="19" t="s">
        <v>12</v>
      </c>
      <c r="F14" s="24">
        <v>10</v>
      </c>
    </row>
    <row r="15" spans="2:8" ht="18" customHeight="1" x14ac:dyDescent="0.4">
      <c r="B15" s="18">
        <v>42872</v>
      </c>
      <c r="C15" s="19" t="s">
        <v>8</v>
      </c>
      <c r="D15" s="19" t="s">
        <v>13</v>
      </c>
      <c r="E15" s="19" t="s">
        <v>11</v>
      </c>
      <c r="F15" s="24">
        <v>30</v>
      </c>
    </row>
    <row r="16" spans="2:8" ht="18" customHeight="1" x14ac:dyDescent="0.4">
      <c r="B16" s="18">
        <v>43238</v>
      </c>
      <c r="C16" s="18" t="s">
        <v>50</v>
      </c>
      <c r="D16" s="14" t="s">
        <v>4</v>
      </c>
      <c r="E16" s="20" t="s">
        <v>3</v>
      </c>
      <c r="F16" s="22">
        <v>1000</v>
      </c>
    </row>
    <row r="17" spans="2:6" ht="18" customHeight="1" x14ac:dyDescent="0.4">
      <c r="B17" s="18">
        <v>43267</v>
      </c>
      <c r="C17" s="18" t="s">
        <v>51</v>
      </c>
      <c r="D17" s="14" t="s">
        <v>9</v>
      </c>
      <c r="E17" s="20" t="s">
        <v>16</v>
      </c>
      <c r="F17" s="25">
        <v>15</v>
      </c>
    </row>
    <row r="18" spans="2:6" ht="18" customHeight="1" x14ac:dyDescent="0.4">
      <c r="B18" s="18">
        <v>43268</v>
      </c>
      <c r="C18" s="18" t="s">
        <v>6</v>
      </c>
      <c r="D18" s="14" t="s">
        <v>2</v>
      </c>
      <c r="E18" s="19" t="s">
        <v>14</v>
      </c>
      <c r="F18" s="24">
        <v>4000</v>
      </c>
    </row>
    <row r="19" spans="2:6" ht="18" customHeight="1" x14ac:dyDescent="0.4">
      <c r="B19" s="18">
        <v>43271</v>
      </c>
      <c r="C19" s="18" t="s">
        <v>8</v>
      </c>
      <c r="D19" s="14" t="s">
        <v>9</v>
      </c>
      <c r="E19" s="20" t="s">
        <v>16</v>
      </c>
      <c r="F19" s="25">
        <v>15</v>
      </c>
    </row>
    <row r="20" spans="2:6" ht="18" customHeight="1" x14ac:dyDescent="0.4">
      <c r="B20" s="18">
        <v>43270</v>
      </c>
      <c r="C20" s="18" t="s">
        <v>50</v>
      </c>
      <c r="D20" s="14" t="s">
        <v>2</v>
      </c>
      <c r="E20" s="14" t="s">
        <v>5</v>
      </c>
      <c r="F20" s="22">
        <v>100</v>
      </c>
    </row>
    <row r="21" spans="2:6" ht="18" customHeight="1" x14ac:dyDescent="0.4">
      <c r="B21" s="18">
        <v>43286</v>
      </c>
      <c r="C21" s="18" t="s">
        <v>51</v>
      </c>
      <c r="D21" s="19" t="s">
        <v>13</v>
      </c>
      <c r="E21" s="14" t="s">
        <v>10</v>
      </c>
      <c r="F21" s="22">
        <v>100</v>
      </c>
    </row>
    <row r="22" spans="2:6" ht="18" customHeight="1" x14ac:dyDescent="0.4">
      <c r="B22" s="18">
        <v>43287</v>
      </c>
      <c r="C22" s="18" t="s">
        <v>6</v>
      </c>
      <c r="D22" s="14" t="s">
        <v>2</v>
      </c>
      <c r="E22" s="20" t="s">
        <v>3</v>
      </c>
      <c r="F22" s="25">
        <v>15</v>
      </c>
    </row>
    <row r="23" spans="2:6" ht="18" customHeight="1" x14ac:dyDescent="0.4">
      <c r="B23" s="18">
        <v>43289</v>
      </c>
      <c r="C23" s="18" t="s">
        <v>8</v>
      </c>
      <c r="D23" s="14" t="s">
        <v>9</v>
      </c>
      <c r="E23" s="14" t="s">
        <v>10</v>
      </c>
      <c r="F23" s="22">
        <v>100</v>
      </c>
    </row>
    <row r="24" spans="2:6" ht="18" customHeight="1" x14ac:dyDescent="0.4">
      <c r="B24" s="18">
        <v>43316</v>
      </c>
      <c r="C24" s="18" t="s">
        <v>50</v>
      </c>
      <c r="D24" s="19" t="s">
        <v>13</v>
      </c>
      <c r="E24" s="20" t="s">
        <v>16</v>
      </c>
      <c r="F24" s="25">
        <v>15</v>
      </c>
    </row>
    <row r="25" spans="2:6" ht="18" customHeight="1" x14ac:dyDescent="0.4">
      <c r="B25" s="18">
        <v>43318</v>
      </c>
      <c r="C25" s="18" t="s">
        <v>51</v>
      </c>
      <c r="D25" s="14" t="s">
        <v>9</v>
      </c>
      <c r="E25" s="14" t="s">
        <v>10</v>
      </c>
      <c r="F25" s="22">
        <v>100</v>
      </c>
    </row>
    <row r="26" spans="2:6" ht="18" customHeight="1" x14ac:dyDescent="0.4">
      <c r="B26" s="18">
        <v>43319</v>
      </c>
      <c r="C26" s="18" t="s">
        <v>6</v>
      </c>
      <c r="D26" s="14" t="s">
        <v>2</v>
      </c>
      <c r="E26" s="19" t="s">
        <v>14</v>
      </c>
      <c r="F26" s="24">
        <v>4000</v>
      </c>
    </row>
    <row r="27" spans="2:6" ht="18" customHeight="1" x14ac:dyDescent="0.4">
      <c r="B27" s="18">
        <v>43344</v>
      </c>
      <c r="C27" s="18" t="s">
        <v>8</v>
      </c>
      <c r="D27" s="14" t="s">
        <v>2</v>
      </c>
      <c r="E27" s="14" t="s">
        <v>10</v>
      </c>
      <c r="F27" s="22">
        <v>100</v>
      </c>
    </row>
    <row r="28" spans="2:6" ht="18" customHeight="1" x14ac:dyDescent="0.4">
      <c r="B28" s="18">
        <v>43347</v>
      </c>
      <c r="C28" s="18" t="s">
        <v>50</v>
      </c>
      <c r="D28" s="14" t="s">
        <v>4</v>
      </c>
      <c r="E28" s="14" t="s">
        <v>5</v>
      </c>
      <c r="F28" s="22">
        <v>100</v>
      </c>
    </row>
    <row r="29" spans="2:6" ht="18" customHeight="1" x14ac:dyDescent="0.4">
      <c r="B29" s="18">
        <v>43713</v>
      </c>
      <c r="C29" s="18" t="s">
        <v>51</v>
      </c>
      <c r="D29" s="14" t="s">
        <v>2</v>
      </c>
      <c r="E29" s="20" t="s">
        <v>3</v>
      </c>
      <c r="F29" s="22">
        <v>1000</v>
      </c>
    </row>
    <row r="30" spans="2:6" ht="18" customHeight="1" x14ac:dyDescent="0.4">
      <c r="B30" s="18">
        <v>43716</v>
      </c>
      <c r="C30" s="18" t="s">
        <v>6</v>
      </c>
      <c r="D30" s="21" t="s">
        <v>13</v>
      </c>
      <c r="E30" s="14" t="s">
        <v>7</v>
      </c>
      <c r="F30" s="22">
        <v>3500</v>
      </c>
    </row>
    <row r="31" spans="2:6" ht="18" customHeight="1" x14ac:dyDescent="0.4">
      <c r="B31" s="18">
        <v>43728</v>
      </c>
      <c r="C31" s="18" t="s">
        <v>8</v>
      </c>
      <c r="D31" s="14" t="s">
        <v>4</v>
      </c>
      <c r="E31" s="20" t="s">
        <v>16</v>
      </c>
      <c r="F31" s="25">
        <v>15</v>
      </c>
    </row>
  </sheetData>
  <pageMargins left="0.7" right="0.7" top="0.75" bottom="0.75" header="0.3" footer="0.3"/>
  <pageSetup orientation="portrait" horizontalDpi="0" verticalDpi="0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416E5-4A07-4E7D-B05A-525DBA9D78A8}">
  <dimension ref="A1:F8"/>
  <sheetViews>
    <sheetView topLeftCell="A19" workbookViewId="0">
      <selection activeCell="A3" sqref="A3"/>
    </sheetView>
  </sheetViews>
  <sheetFormatPr baseColWidth="10" defaultRowHeight="14.6" x14ac:dyDescent="0.4"/>
  <cols>
    <col min="1" max="1" width="17.53515625" bestFit="1" customWidth="1"/>
    <col min="2" max="2" width="22.3828125" bestFit="1" customWidth="1"/>
    <col min="3" max="3" width="14.69140625" bestFit="1" customWidth="1"/>
    <col min="4" max="4" width="10.84375" bestFit="1" customWidth="1"/>
    <col min="5" max="5" width="13.69140625" bestFit="1" customWidth="1"/>
    <col min="6" max="6" width="12.53515625" bestFit="1" customWidth="1"/>
  </cols>
  <sheetData>
    <row r="1" spans="1:6" x14ac:dyDescent="0.4">
      <c r="A1" s="32" t="s">
        <v>48</v>
      </c>
      <c r="B1" t="s">
        <v>67</v>
      </c>
    </row>
    <row r="3" spans="1:6" x14ac:dyDescent="0.4">
      <c r="A3" s="32" t="s">
        <v>66</v>
      </c>
      <c r="B3" s="32" t="s">
        <v>55</v>
      </c>
    </row>
    <row r="4" spans="1:6" x14ac:dyDescent="0.4">
      <c r="A4" s="32" t="s">
        <v>53</v>
      </c>
      <c r="B4" t="s">
        <v>50</v>
      </c>
      <c r="C4" t="s">
        <v>8</v>
      </c>
      <c r="D4" t="s">
        <v>51</v>
      </c>
      <c r="E4" t="s">
        <v>6</v>
      </c>
      <c r="F4" t="s">
        <v>54</v>
      </c>
    </row>
    <row r="5" spans="1:6" x14ac:dyDescent="0.4">
      <c r="A5" s="33" t="s">
        <v>62</v>
      </c>
      <c r="B5" s="35">
        <v>4000</v>
      </c>
      <c r="C5" s="35">
        <v>4000</v>
      </c>
      <c r="D5" s="35">
        <v>200</v>
      </c>
      <c r="E5" s="35">
        <v>3500</v>
      </c>
      <c r="F5" s="35">
        <v>4000</v>
      </c>
    </row>
    <row r="6" spans="1:6" x14ac:dyDescent="0.4">
      <c r="A6" s="33" t="s">
        <v>63</v>
      </c>
      <c r="B6" s="35">
        <v>1000</v>
      </c>
      <c r="C6" s="35">
        <v>100</v>
      </c>
      <c r="D6" s="35">
        <v>100</v>
      </c>
      <c r="E6" s="35">
        <v>4000</v>
      </c>
      <c r="F6" s="35">
        <v>4000</v>
      </c>
    </row>
    <row r="7" spans="1:6" x14ac:dyDescent="0.4">
      <c r="A7" s="33" t="s">
        <v>64</v>
      </c>
      <c r="B7" s="35"/>
      <c r="C7" s="35">
        <v>15</v>
      </c>
      <c r="D7" s="35">
        <v>1000</v>
      </c>
      <c r="E7" s="35">
        <v>3500</v>
      </c>
      <c r="F7" s="35">
        <v>3500</v>
      </c>
    </row>
    <row r="8" spans="1:6" x14ac:dyDescent="0.4">
      <c r="A8" s="33" t="s">
        <v>54</v>
      </c>
      <c r="B8" s="35">
        <v>4000</v>
      </c>
      <c r="C8" s="35">
        <v>4000</v>
      </c>
      <c r="D8" s="35">
        <v>1000</v>
      </c>
      <c r="E8" s="35">
        <v>4000</v>
      </c>
      <c r="F8" s="35">
        <v>4000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783C-4DC7-4C60-988C-E687A721AD7E}">
  <dimension ref="B2:K31"/>
  <sheetViews>
    <sheetView zoomScale="90" zoomScaleNormal="90" workbookViewId="0">
      <selection activeCell="D20" sqref="D20"/>
    </sheetView>
  </sheetViews>
  <sheetFormatPr baseColWidth="10" defaultRowHeight="14.6" x14ac:dyDescent="0.4"/>
  <cols>
    <col min="1" max="1" width="15.3828125" customWidth="1"/>
    <col min="2" max="2" width="18.69140625" customWidth="1"/>
    <col min="3" max="4" width="29" customWidth="1"/>
    <col min="5" max="5" width="21" customWidth="1"/>
    <col min="6" max="6" width="27.84375" customWidth="1"/>
    <col min="8" max="8" width="17.53515625" bestFit="1" customWidth="1"/>
    <col min="9" max="9" width="22.3828125" bestFit="1" customWidth="1"/>
    <col min="10" max="10" width="14.69140625" bestFit="1" customWidth="1"/>
    <col min="11" max="11" width="10.84375" bestFit="1" customWidth="1"/>
    <col min="12" max="12" width="13.69140625" bestFit="1" customWidth="1"/>
    <col min="13" max="13" width="12.53515625" bestFit="1" customWidth="1"/>
    <col min="14" max="14" width="19.3046875" bestFit="1" customWidth="1"/>
    <col min="15" max="15" width="16.53515625" bestFit="1" customWidth="1"/>
    <col min="16" max="16" width="10" bestFit="1" customWidth="1"/>
    <col min="17" max="17" width="10.53515625" bestFit="1" customWidth="1"/>
    <col min="18" max="18" width="7.84375" bestFit="1" customWidth="1"/>
    <col min="19" max="19" width="9.15234375" bestFit="1" customWidth="1"/>
    <col min="20" max="20" width="19.69140625" bestFit="1" customWidth="1"/>
    <col min="21" max="21" width="12.69140625" bestFit="1" customWidth="1"/>
    <col min="22" max="22" width="10" bestFit="1" customWidth="1"/>
    <col min="23" max="24" width="10.53515625" bestFit="1" customWidth="1"/>
    <col min="25" max="25" width="7.84375" bestFit="1" customWidth="1"/>
    <col min="26" max="26" width="9.15234375" bestFit="1" customWidth="1"/>
    <col min="27" max="27" width="15.69140625" bestFit="1" customWidth="1"/>
    <col min="28" max="28" width="15.53515625" bestFit="1" customWidth="1"/>
    <col min="29" max="30" width="10" bestFit="1" customWidth="1"/>
    <col min="31" max="31" width="7.3828125" bestFit="1" customWidth="1"/>
    <col min="32" max="32" width="18.69140625" bestFit="1" customWidth="1"/>
    <col min="33" max="33" width="12.53515625" bestFit="1" customWidth="1"/>
  </cols>
  <sheetData>
    <row r="2" spans="2:11" ht="37.5" customHeight="1" x14ac:dyDescent="0.4">
      <c r="B2" s="36" t="s">
        <v>0</v>
      </c>
      <c r="C2" s="36" t="s">
        <v>47</v>
      </c>
      <c r="D2" s="36" t="s">
        <v>48</v>
      </c>
      <c r="E2" s="36" t="s">
        <v>1</v>
      </c>
      <c r="F2" s="36" t="s">
        <v>49</v>
      </c>
      <c r="G2" s="12"/>
    </row>
    <row r="3" spans="2:11" ht="18" customHeight="1" x14ac:dyDescent="0.4">
      <c r="B3" s="13">
        <v>42811</v>
      </c>
      <c r="C3" s="14" t="s">
        <v>50</v>
      </c>
      <c r="D3" s="14" t="s">
        <v>2</v>
      </c>
      <c r="E3" s="14" t="s">
        <v>3</v>
      </c>
      <c r="F3" s="22">
        <v>1000</v>
      </c>
    </row>
    <row r="4" spans="2:11" ht="18" customHeight="1" x14ac:dyDescent="0.4">
      <c r="B4" s="13">
        <v>42814</v>
      </c>
      <c r="C4" s="14" t="s">
        <v>51</v>
      </c>
      <c r="D4" s="14" t="s">
        <v>4</v>
      </c>
      <c r="E4" s="14" t="s">
        <v>5</v>
      </c>
      <c r="F4" s="22">
        <v>200</v>
      </c>
    </row>
    <row r="5" spans="2:11" ht="18" customHeight="1" x14ac:dyDescent="0.4">
      <c r="B5" s="13">
        <v>42816</v>
      </c>
      <c r="C5" s="14" t="s">
        <v>6</v>
      </c>
      <c r="D5" s="14" t="s">
        <v>4</v>
      </c>
      <c r="E5" s="14" t="s">
        <v>7</v>
      </c>
      <c r="F5" s="22">
        <v>3500</v>
      </c>
      <c r="H5" s="38"/>
      <c r="I5" s="38"/>
      <c r="J5" s="38"/>
      <c r="K5" s="38"/>
    </row>
    <row r="6" spans="2:11" ht="18" customHeight="1" x14ac:dyDescent="0.4">
      <c r="B6" s="13">
        <v>42845</v>
      </c>
      <c r="C6" s="14" t="s">
        <v>8</v>
      </c>
      <c r="D6" s="14" t="s">
        <v>9</v>
      </c>
      <c r="E6" s="14" t="s">
        <v>5</v>
      </c>
      <c r="F6" s="22">
        <v>100</v>
      </c>
      <c r="H6" s="38"/>
      <c r="I6" s="38"/>
      <c r="J6" s="38"/>
      <c r="K6" s="38"/>
    </row>
    <row r="7" spans="2:11" x14ac:dyDescent="0.4">
      <c r="B7" s="13">
        <v>42842</v>
      </c>
      <c r="C7" s="14" t="s">
        <v>50</v>
      </c>
      <c r="D7" s="14" t="s">
        <v>2</v>
      </c>
      <c r="E7" s="14" t="s">
        <v>10</v>
      </c>
      <c r="F7" s="22">
        <v>100</v>
      </c>
      <c r="H7" s="38"/>
      <c r="I7" s="38"/>
      <c r="J7" s="38"/>
      <c r="K7" s="38"/>
    </row>
    <row r="8" spans="2:11" ht="18" customHeight="1" x14ac:dyDescent="0.4">
      <c r="B8" s="13">
        <v>42877</v>
      </c>
      <c r="C8" s="14" t="s">
        <v>51</v>
      </c>
      <c r="D8" s="14" t="s">
        <v>9</v>
      </c>
      <c r="E8" s="14" t="s">
        <v>11</v>
      </c>
      <c r="F8" s="22">
        <v>20</v>
      </c>
    </row>
    <row r="9" spans="2:11" ht="18" customHeight="1" x14ac:dyDescent="0.4">
      <c r="B9" s="13">
        <v>42877</v>
      </c>
      <c r="C9" s="14" t="s">
        <v>6</v>
      </c>
      <c r="D9" s="14" t="s">
        <v>9</v>
      </c>
      <c r="E9" s="14" t="s">
        <v>12</v>
      </c>
      <c r="F9" s="22">
        <v>10</v>
      </c>
    </row>
    <row r="10" spans="2:11" ht="18" customHeight="1" x14ac:dyDescent="0.4">
      <c r="B10" s="16">
        <v>42879</v>
      </c>
      <c r="C10" s="17" t="s">
        <v>8</v>
      </c>
      <c r="D10" s="14" t="s">
        <v>2</v>
      </c>
      <c r="E10" s="17" t="s">
        <v>11</v>
      </c>
      <c r="F10" s="23">
        <v>20</v>
      </c>
    </row>
    <row r="11" spans="2:11" ht="18" customHeight="1" x14ac:dyDescent="0.4">
      <c r="B11" s="18">
        <v>42872</v>
      </c>
      <c r="C11" s="19" t="s">
        <v>8</v>
      </c>
      <c r="D11" s="19" t="s">
        <v>13</v>
      </c>
      <c r="E11" s="19" t="s">
        <v>14</v>
      </c>
      <c r="F11" s="24">
        <v>4000</v>
      </c>
    </row>
    <row r="12" spans="2:11" ht="18" customHeight="1" x14ac:dyDescent="0.4">
      <c r="B12" s="18">
        <v>42875</v>
      </c>
      <c r="C12" s="19" t="s">
        <v>50</v>
      </c>
      <c r="D12" s="14" t="s">
        <v>9</v>
      </c>
      <c r="E12" s="19" t="s">
        <v>14</v>
      </c>
      <c r="F12" s="24">
        <v>4000</v>
      </c>
    </row>
    <row r="13" spans="2:11" ht="18" customHeight="1" x14ac:dyDescent="0.4">
      <c r="B13" s="18">
        <v>42882</v>
      </c>
      <c r="C13" s="19" t="s">
        <v>51</v>
      </c>
      <c r="D13" s="14" t="s">
        <v>9</v>
      </c>
      <c r="E13" s="19" t="s">
        <v>15</v>
      </c>
      <c r="F13" s="24">
        <v>180</v>
      </c>
    </row>
    <row r="14" spans="2:11" ht="18" customHeight="1" x14ac:dyDescent="0.4">
      <c r="B14" s="18">
        <v>42875</v>
      </c>
      <c r="C14" s="19" t="s">
        <v>6</v>
      </c>
      <c r="D14" s="14" t="s">
        <v>2</v>
      </c>
      <c r="E14" s="19" t="s">
        <v>12</v>
      </c>
      <c r="F14" s="24">
        <v>10</v>
      </c>
    </row>
    <row r="15" spans="2:11" ht="18" customHeight="1" x14ac:dyDescent="0.4">
      <c r="B15" s="18">
        <v>42872</v>
      </c>
      <c r="C15" s="19" t="s">
        <v>8</v>
      </c>
      <c r="D15" s="19" t="s">
        <v>13</v>
      </c>
      <c r="E15" s="19" t="s">
        <v>11</v>
      </c>
      <c r="F15" s="24">
        <v>30</v>
      </c>
    </row>
    <row r="16" spans="2:11" ht="18" customHeight="1" x14ac:dyDescent="0.4">
      <c r="B16" s="18">
        <v>43238</v>
      </c>
      <c r="C16" s="18" t="s">
        <v>50</v>
      </c>
      <c r="D16" s="14" t="s">
        <v>4</v>
      </c>
      <c r="E16" s="20" t="s">
        <v>3</v>
      </c>
      <c r="F16" s="22">
        <v>1000</v>
      </c>
    </row>
    <row r="17" spans="2:6" ht="18" customHeight="1" x14ac:dyDescent="0.4">
      <c r="B17" s="18">
        <v>43267</v>
      </c>
      <c r="C17" s="18" t="s">
        <v>51</v>
      </c>
      <c r="D17" s="14" t="s">
        <v>9</v>
      </c>
      <c r="E17" s="20" t="s">
        <v>16</v>
      </c>
      <c r="F17" s="25">
        <v>15</v>
      </c>
    </row>
    <row r="18" spans="2:6" ht="18" customHeight="1" x14ac:dyDescent="0.4">
      <c r="B18" s="18">
        <v>43268</v>
      </c>
      <c r="C18" s="18" t="s">
        <v>6</v>
      </c>
      <c r="D18" s="14" t="s">
        <v>2</v>
      </c>
      <c r="E18" s="19" t="s">
        <v>14</v>
      </c>
      <c r="F18" s="24">
        <v>4000</v>
      </c>
    </row>
    <row r="19" spans="2:6" ht="18" customHeight="1" x14ac:dyDescent="0.4">
      <c r="B19" s="18">
        <v>43271</v>
      </c>
      <c r="C19" s="18" t="s">
        <v>8</v>
      </c>
      <c r="D19" s="14" t="s">
        <v>9</v>
      </c>
      <c r="E19" s="20" t="s">
        <v>16</v>
      </c>
      <c r="F19" s="25">
        <v>15</v>
      </c>
    </row>
    <row r="20" spans="2:6" ht="18" customHeight="1" x14ac:dyDescent="0.4">
      <c r="B20" s="18">
        <v>43270</v>
      </c>
      <c r="C20" s="18" t="s">
        <v>50</v>
      </c>
      <c r="D20" s="14" t="s">
        <v>2</v>
      </c>
      <c r="E20" s="14" t="s">
        <v>5</v>
      </c>
      <c r="F20" s="22">
        <v>100</v>
      </c>
    </row>
    <row r="21" spans="2:6" ht="18" customHeight="1" x14ac:dyDescent="0.4">
      <c r="B21" s="18">
        <v>43286</v>
      </c>
      <c r="C21" s="18" t="s">
        <v>51</v>
      </c>
      <c r="D21" s="19" t="s">
        <v>13</v>
      </c>
      <c r="E21" s="14" t="s">
        <v>10</v>
      </c>
      <c r="F21" s="22">
        <v>100</v>
      </c>
    </row>
    <row r="22" spans="2:6" ht="18" customHeight="1" x14ac:dyDescent="0.4">
      <c r="B22" s="18">
        <v>43287</v>
      </c>
      <c r="C22" s="18" t="s">
        <v>6</v>
      </c>
      <c r="D22" s="14" t="s">
        <v>2</v>
      </c>
      <c r="E22" s="20" t="s">
        <v>3</v>
      </c>
      <c r="F22" s="25">
        <v>15</v>
      </c>
    </row>
    <row r="23" spans="2:6" ht="18" customHeight="1" x14ac:dyDescent="0.4">
      <c r="B23" s="18">
        <v>43289</v>
      </c>
      <c r="C23" s="18" t="s">
        <v>8</v>
      </c>
      <c r="D23" s="14" t="s">
        <v>9</v>
      </c>
      <c r="E23" s="14" t="s">
        <v>10</v>
      </c>
      <c r="F23" s="22">
        <v>100</v>
      </c>
    </row>
    <row r="24" spans="2:6" ht="18" customHeight="1" x14ac:dyDescent="0.4">
      <c r="B24" s="18">
        <v>43316</v>
      </c>
      <c r="C24" s="18" t="s">
        <v>50</v>
      </c>
      <c r="D24" s="19" t="s">
        <v>13</v>
      </c>
      <c r="E24" s="20" t="s">
        <v>16</v>
      </c>
      <c r="F24" s="25">
        <v>15</v>
      </c>
    </row>
    <row r="25" spans="2:6" ht="18" customHeight="1" x14ac:dyDescent="0.4">
      <c r="B25" s="18">
        <v>43318</v>
      </c>
      <c r="C25" s="18" t="s">
        <v>51</v>
      </c>
      <c r="D25" s="14" t="s">
        <v>9</v>
      </c>
      <c r="E25" s="14" t="s">
        <v>10</v>
      </c>
      <c r="F25" s="22">
        <v>100</v>
      </c>
    </row>
    <row r="26" spans="2:6" ht="18" customHeight="1" x14ac:dyDescent="0.4">
      <c r="B26" s="18">
        <v>43319</v>
      </c>
      <c r="C26" s="18" t="s">
        <v>6</v>
      </c>
      <c r="D26" s="14" t="s">
        <v>2</v>
      </c>
      <c r="E26" s="19" t="s">
        <v>14</v>
      </c>
      <c r="F26" s="24">
        <v>4000</v>
      </c>
    </row>
    <row r="27" spans="2:6" ht="18" customHeight="1" x14ac:dyDescent="0.4">
      <c r="B27" s="18">
        <v>43344</v>
      </c>
      <c r="C27" s="18" t="s">
        <v>8</v>
      </c>
      <c r="D27" s="14" t="s">
        <v>2</v>
      </c>
      <c r="E27" s="14" t="s">
        <v>10</v>
      </c>
      <c r="F27" s="22">
        <v>100</v>
      </c>
    </row>
    <row r="28" spans="2:6" ht="18" customHeight="1" x14ac:dyDescent="0.4">
      <c r="B28" s="18">
        <v>43347</v>
      </c>
      <c r="C28" s="18" t="s">
        <v>50</v>
      </c>
      <c r="D28" s="14" t="s">
        <v>4</v>
      </c>
      <c r="E28" s="14" t="s">
        <v>5</v>
      </c>
      <c r="F28" s="22">
        <v>100</v>
      </c>
    </row>
    <row r="29" spans="2:6" ht="18" customHeight="1" x14ac:dyDescent="0.4">
      <c r="B29" s="18">
        <v>43713</v>
      </c>
      <c r="C29" s="18" t="s">
        <v>51</v>
      </c>
      <c r="D29" s="14" t="s">
        <v>2</v>
      </c>
      <c r="E29" s="20" t="s">
        <v>3</v>
      </c>
      <c r="F29" s="22">
        <v>1000</v>
      </c>
    </row>
    <row r="30" spans="2:6" ht="18" customHeight="1" x14ac:dyDescent="0.4">
      <c r="B30" s="18">
        <v>43716</v>
      </c>
      <c r="C30" s="18" t="s">
        <v>6</v>
      </c>
      <c r="D30" s="21" t="s">
        <v>13</v>
      </c>
      <c r="E30" s="14" t="s">
        <v>7</v>
      </c>
      <c r="F30" s="22">
        <v>3500</v>
      </c>
    </row>
    <row r="31" spans="2:6" ht="18" customHeight="1" x14ac:dyDescent="0.4">
      <c r="B31" s="18">
        <v>43728</v>
      </c>
      <c r="C31" s="18" t="s">
        <v>8</v>
      </c>
      <c r="D31" s="14" t="s">
        <v>4</v>
      </c>
      <c r="E31" s="20" t="s">
        <v>16</v>
      </c>
      <c r="F31" s="25">
        <v>15</v>
      </c>
    </row>
  </sheetData>
  <mergeCells count="1">
    <mergeCell ref="H5:K7"/>
  </mergeCells>
  <pageMargins left="0.7" right="0.7" top="0.75" bottom="0.75" header="0.3" footer="0.3"/>
  <pageSetup orientation="portrait" horizontalDpi="0" verticalDpi="0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D1D5-1F45-4AD4-AF6A-75B7983181DC}">
  <dimension ref="A1:H9"/>
  <sheetViews>
    <sheetView tabSelected="1" workbookViewId="0">
      <selection activeCell="B16" sqref="B16"/>
    </sheetView>
  </sheetViews>
  <sheetFormatPr baseColWidth="10" defaultColWidth="9.23046875" defaultRowHeight="14.6" x14ac:dyDescent="0.4"/>
  <cols>
    <col min="1" max="1" width="12" customWidth="1"/>
    <col min="2" max="2" width="66" customWidth="1"/>
    <col min="3" max="4" width="12" customWidth="1"/>
    <col min="5" max="5" width="25" customWidth="1"/>
    <col min="6" max="6" width="80" customWidth="1"/>
    <col min="7" max="7" width="12" customWidth="1"/>
    <col min="8" max="8" width="14" customWidth="1"/>
  </cols>
  <sheetData>
    <row r="1" spans="1:8" ht="28" customHeight="1" x14ac:dyDescent="0.4">
      <c r="A1" s="39" t="s">
        <v>68</v>
      </c>
      <c r="B1" s="39" t="s">
        <v>69</v>
      </c>
      <c r="C1" s="39" t="s">
        <v>70</v>
      </c>
      <c r="D1" s="39" t="s">
        <v>25</v>
      </c>
      <c r="E1" s="39" t="s">
        <v>71</v>
      </c>
      <c r="F1" s="39" t="s">
        <v>72</v>
      </c>
      <c r="G1" s="39" t="s">
        <v>73</v>
      </c>
      <c r="H1" s="39" t="s">
        <v>74</v>
      </c>
    </row>
    <row r="2" spans="1:8" x14ac:dyDescent="0.4">
      <c r="A2" s="40" t="s">
        <v>75</v>
      </c>
      <c r="B2" s="41" t="s">
        <v>76</v>
      </c>
      <c r="C2" s="40" t="s">
        <v>20</v>
      </c>
      <c r="D2" s="40" t="s">
        <v>77</v>
      </c>
      <c r="E2" s="40" t="s">
        <v>78</v>
      </c>
      <c r="F2" s="41" t="s">
        <v>79</v>
      </c>
      <c r="G2" s="42">
        <v>15</v>
      </c>
      <c r="H2" s="40" t="s">
        <v>80</v>
      </c>
    </row>
    <row r="3" spans="1:8" x14ac:dyDescent="0.4">
      <c r="A3" s="43" t="s">
        <v>81</v>
      </c>
      <c r="B3" s="44" t="s">
        <v>82</v>
      </c>
      <c r="C3" s="43" t="s">
        <v>20</v>
      </c>
      <c r="D3" s="43" t="s">
        <v>83</v>
      </c>
      <c r="E3" s="43" t="s">
        <v>78</v>
      </c>
      <c r="F3" s="44" t="s">
        <v>84</v>
      </c>
      <c r="G3" s="45">
        <v>20</v>
      </c>
      <c r="H3" s="43" t="s">
        <v>80</v>
      </c>
    </row>
    <row r="4" spans="1:8" x14ac:dyDescent="0.4">
      <c r="A4" s="40" t="s">
        <v>85</v>
      </c>
      <c r="B4" s="41" t="s">
        <v>86</v>
      </c>
      <c r="C4" s="40" t="s">
        <v>20</v>
      </c>
      <c r="D4" s="40" t="s">
        <v>83</v>
      </c>
      <c r="E4" s="40" t="s">
        <v>87</v>
      </c>
      <c r="F4" s="41" t="s">
        <v>88</v>
      </c>
      <c r="G4" s="42">
        <v>15</v>
      </c>
      <c r="H4" s="40" t="s">
        <v>89</v>
      </c>
    </row>
    <row r="5" spans="1:8" x14ac:dyDescent="0.4">
      <c r="A5" s="43" t="s">
        <v>90</v>
      </c>
      <c r="B5" s="44" t="s">
        <v>91</v>
      </c>
      <c r="C5" s="43" t="s">
        <v>20</v>
      </c>
      <c r="D5" s="43" t="s">
        <v>92</v>
      </c>
      <c r="E5" s="43" t="s">
        <v>93</v>
      </c>
      <c r="F5" s="44" t="s">
        <v>94</v>
      </c>
      <c r="G5" s="45">
        <v>10</v>
      </c>
      <c r="H5" s="43" t="s">
        <v>89</v>
      </c>
    </row>
    <row r="6" spans="1:8" x14ac:dyDescent="0.4">
      <c r="A6" s="40" t="s">
        <v>95</v>
      </c>
      <c r="B6" s="41" t="s">
        <v>96</v>
      </c>
      <c r="C6" s="40" t="s">
        <v>20</v>
      </c>
      <c r="D6" s="40" t="s">
        <v>97</v>
      </c>
      <c r="E6" s="40" t="s">
        <v>98</v>
      </c>
      <c r="F6" s="41" t="s">
        <v>99</v>
      </c>
      <c r="G6" s="42">
        <v>10</v>
      </c>
      <c r="H6" s="40" t="s">
        <v>89</v>
      </c>
    </row>
    <row r="7" spans="1:8" x14ac:dyDescent="0.4">
      <c r="A7" s="43" t="s">
        <v>100</v>
      </c>
      <c r="B7" s="44" t="s">
        <v>101</v>
      </c>
      <c r="C7" s="43" t="s">
        <v>102</v>
      </c>
      <c r="D7" s="43" t="s">
        <v>103</v>
      </c>
      <c r="E7" s="43" t="s">
        <v>104</v>
      </c>
      <c r="F7" s="44" t="s">
        <v>105</v>
      </c>
      <c r="G7" s="45">
        <v>10</v>
      </c>
      <c r="H7" s="43" t="s">
        <v>89</v>
      </c>
    </row>
    <row r="8" spans="1:8" x14ac:dyDescent="0.4">
      <c r="A8" s="40" t="s">
        <v>106</v>
      </c>
      <c r="B8" s="41" t="s">
        <v>107</v>
      </c>
      <c r="C8" s="40" t="s">
        <v>102</v>
      </c>
      <c r="D8" s="40" t="s">
        <v>108</v>
      </c>
      <c r="E8" s="40" t="s">
        <v>109</v>
      </c>
      <c r="F8" s="41" t="s">
        <v>110</v>
      </c>
      <c r="G8" s="42">
        <v>10</v>
      </c>
      <c r="H8" s="40" t="s">
        <v>89</v>
      </c>
    </row>
    <row r="9" spans="1:8" x14ac:dyDescent="0.4">
      <c r="A9" s="43" t="s">
        <v>111</v>
      </c>
      <c r="B9" s="44" t="s">
        <v>112</v>
      </c>
      <c r="C9" s="43" t="s">
        <v>102</v>
      </c>
      <c r="D9" s="43" t="s">
        <v>113</v>
      </c>
      <c r="E9" s="43" t="s">
        <v>114</v>
      </c>
      <c r="F9" s="44" t="s">
        <v>115</v>
      </c>
      <c r="G9" s="45">
        <v>10</v>
      </c>
      <c r="H9" s="43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Instrucciones T. Dinámicas</vt:lpstr>
      <vt:lpstr>ventas por vendedor</vt:lpstr>
      <vt:lpstr>ventas por fecha</vt:lpstr>
      <vt:lpstr>productos por fecha</vt:lpstr>
      <vt:lpstr>Ejercicio I</vt:lpstr>
      <vt:lpstr>agrupado por fecha</vt:lpstr>
      <vt:lpstr>Ejercicio II</vt:lpstr>
      <vt:lpstr>ejercio 3</vt:lpstr>
      <vt:lpstr>Ejercicio III</vt:lpstr>
      <vt:lpstr>_RUBRICA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Arnoldo Angulo Medina</cp:lastModifiedBy>
  <dcterms:created xsi:type="dcterms:W3CDTF">2022-08-30T18:31:58Z</dcterms:created>
  <dcterms:modified xsi:type="dcterms:W3CDTF">2026-09-20T21:05:37Z</dcterms:modified>
</cp:coreProperties>
</file>