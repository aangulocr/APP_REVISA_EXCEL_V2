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  <sheet name="_RUBR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C5282"/>
        <bgColor rgb="FF2C5282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5" customHeight="1">
      <c r="A1" s="1" t="inlineStr">
        <is>
          <t>Producto</t>
        </is>
      </c>
      <c r="B1" s="1" t="inlineStr">
        <is>
          <t>Categoria</t>
        </is>
      </c>
      <c r="C1" s="1" t="inlineStr">
        <is>
          <t>Cantidad</t>
        </is>
      </c>
      <c r="D1" s="1" t="inlineStr">
        <is>
          <t>Precio_Unitario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</row>
    <row r="2">
      <c r="A2" s="2" t="inlineStr">
        <is>
          <t>Teclado Mecánico</t>
        </is>
      </c>
      <c r="B2" s="2" t="inlineStr">
        <is>
          <t>Periféricos</t>
        </is>
      </c>
      <c r="C2" s="3" t="n">
        <v>15</v>
      </c>
      <c r="D2" s="4" t="n">
        <v>45</v>
      </c>
      <c r="E2" s="4">
        <f>C2*D2</f>
        <v/>
      </c>
      <c r="F2" s="4">
        <f>E2*0.05</f>
        <v/>
      </c>
      <c r="G2" s="4">
        <f>E2-F2</f>
        <v/>
      </c>
    </row>
    <row r="3">
      <c r="A3" s="2" t="inlineStr">
        <is>
          <t>Mouse Gamer</t>
        </is>
      </c>
      <c r="B3" s="2" t="inlineStr">
        <is>
          <t>Periféricos</t>
        </is>
      </c>
      <c r="C3" s="3" t="n">
        <v>20</v>
      </c>
      <c r="D3" s="4" t="n">
        <v>25</v>
      </c>
      <c r="E3" s="4">
        <f>C3*D3</f>
        <v/>
      </c>
      <c r="F3" s="4">
        <f>E3*0.05</f>
        <v/>
      </c>
      <c r="G3" s="4">
        <f>E3-F3</f>
        <v/>
      </c>
    </row>
    <row r="4">
      <c r="A4" s="2" t="inlineStr">
        <is>
          <t>Monitor 27 Pulgadas</t>
        </is>
      </c>
      <c r="B4" s="2" t="inlineStr">
        <is>
          <t>Monitores</t>
        </is>
      </c>
      <c r="C4" s="3" t="n">
        <v>8</v>
      </c>
      <c r="D4" s="4" t="n">
        <v>220</v>
      </c>
      <c r="E4" s="4">
        <f>C4*D4</f>
        <v/>
      </c>
      <c r="F4" s="4">
        <f>E4*0.05</f>
        <v/>
      </c>
      <c r="G4" s="4">
        <f>E4-F4</f>
        <v/>
      </c>
    </row>
    <row r="5">
      <c r="A5" s="2" t="inlineStr">
        <is>
          <t>Auriculares Inalámbricos</t>
        </is>
      </c>
      <c r="B5" s="2" t="inlineStr">
        <is>
          <t>Audio</t>
        </is>
      </c>
      <c r="C5" s="3" t="n">
        <v>12</v>
      </c>
      <c r="D5" s="4" t="n">
        <v>60</v>
      </c>
      <c r="E5" s="4">
        <f>C5*D5</f>
        <v/>
      </c>
      <c r="F5" s="4">
        <f>E5*0.05</f>
        <v/>
      </c>
      <c r="G5" s="4">
        <f>E5-F5</f>
        <v/>
      </c>
    </row>
    <row r="6">
      <c r="A6" s="2" t="inlineStr">
        <is>
          <t>Webcam 1080p</t>
        </is>
      </c>
      <c r="B6" s="2" t="inlineStr">
        <is>
          <t>Periféricos</t>
        </is>
      </c>
      <c r="C6" s="3" t="n">
        <v>10</v>
      </c>
      <c r="D6" s="4" t="n">
        <v>35</v>
      </c>
      <c r="E6" s="4">
        <f>C6*D6</f>
        <v/>
      </c>
      <c r="F6" s="4">
        <f>E6*0.05</f>
        <v/>
      </c>
      <c r="G6" s="4">
        <f>E6-F6</f>
        <v/>
      </c>
    </row>
    <row r="7">
      <c r="A7" s="2" t="inlineStr">
        <is>
          <t>Micrófono USB</t>
        </is>
      </c>
      <c r="B7" s="2" t="inlineStr">
        <is>
          <t>Audio</t>
        </is>
      </c>
      <c r="C7" s="3" t="n">
        <v>5</v>
      </c>
      <c r="D7" s="4" t="n">
        <v>80</v>
      </c>
      <c r="E7" s="4">
        <f>C7*D7</f>
        <v/>
      </c>
      <c r="F7" s="4">
        <f>E7*0.05</f>
        <v/>
      </c>
      <c r="G7" s="4">
        <f>E7-F7</f>
        <v/>
      </c>
    </row>
    <row r="8">
      <c r="A8" s="2" t="inlineStr">
        <is>
          <t>Soporte Monitor</t>
        </is>
      </c>
      <c r="B8" s="2" t="inlineStr">
        <is>
          <t>Accesorios</t>
        </is>
      </c>
      <c r="C8" s="3" t="n">
        <v>7</v>
      </c>
      <c r="D8" s="4" t="n">
        <v>30</v>
      </c>
      <c r="E8" s="4">
        <f>C8*D8</f>
        <v/>
      </c>
      <c r="F8" s="4">
        <f>E8*0.05</f>
        <v/>
      </c>
      <c r="G8" s="4">
        <f>E8-F8</f>
        <v/>
      </c>
    </row>
    <row r="9">
      <c r="A9" s="2" t="inlineStr">
        <is>
          <t>Cable HDMI 4K</t>
        </is>
      </c>
      <c r="B9" s="2" t="inlineStr">
        <is>
          <t>Accesorios</t>
        </is>
      </c>
      <c r="C9" s="3" t="n">
        <v>25</v>
      </c>
      <c r="D9" s="4" t="n">
        <v>10</v>
      </c>
      <c r="E9" s="4">
        <f>C9*D9</f>
        <v/>
      </c>
      <c r="F9" s="4">
        <f>E9*0.05</f>
        <v/>
      </c>
      <c r="G9" s="4">
        <f>E9-F9</f>
        <v/>
      </c>
    </row>
    <row r="10">
      <c r="A10" s="2" t="inlineStr">
        <is>
          <t>Parlantes Bluetooth</t>
        </is>
      </c>
      <c r="B10" s="2" t="inlineStr">
        <is>
          <t>Audio</t>
        </is>
      </c>
      <c r="C10" s="3" t="n">
        <v>9</v>
      </c>
      <c r="D10" s="4" t="n">
        <v>45</v>
      </c>
      <c r="E10" s="4">
        <f>C10*D10</f>
        <v/>
      </c>
      <c r="F10" s="4">
        <f>E10*0.05</f>
        <v/>
      </c>
      <c r="G10" s="4">
        <f>E10-F10</f>
        <v/>
      </c>
    </row>
    <row r="11">
      <c r="A11" s="5" t="inlineStr">
        <is>
          <t>TOTAL GENERAL</t>
        </is>
      </c>
      <c r="B11" s="2" t="n"/>
      <c r="C11" s="2" t="n"/>
      <c r="D11" s="2" t="n"/>
      <c r="E11" s="2" t="n"/>
      <c r="F11" s="2" t="n"/>
      <c r="G11" s="6">
        <f>SUM(G2:G10)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2" customWidth="1" min="3" max="3"/>
    <col width="12" customWidth="1" min="4" max="4"/>
  </cols>
  <sheetData>
    <row r="1" ht="32" customHeight="1">
      <c r="A1" s="7" t="inlineStr">
        <is>
          <t>PANEL DE CONTROL Y RESUMEN DE VENTAS</t>
        </is>
      </c>
    </row>
    <row r="2"/>
    <row r="3">
      <c r="A3" s="8" t="inlineStr">
        <is>
          <t>Seleccionar Categoría:</t>
        </is>
      </c>
      <c r="B3" s="2" t="inlineStr">
        <is>
          <t>Periféricos</t>
        </is>
      </c>
    </row>
    <row r="4"/>
    <row r="5">
      <c r="A5" s="8" t="inlineStr">
        <is>
          <t>Métricas Clave:</t>
        </is>
      </c>
    </row>
    <row r="6">
      <c r="A6" t="inlineStr">
        <is>
          <t>Total Productos Evaluados:</t>
        </is>
      </c>
      <c r="B6">
        <f>COUNTA(Ventas!A2:A10)</f>
        <v/>
      </c>
    </row>
    <row r="7">
      <c r="A7" t="inlineStr">
        <is>
          <t>Promedio de Venta por Ítem:</t>
        </is>
      </c>
      <c r="B7" s="9">
        <f>AVERAGE(Ventas!G2:G10)</f>
        <v/>
      </c>
    </row>
  </sheetData>
  <mergeCells count="1">
    <mergeCell ref="A1:D1"/>
  </mergeCells>
  <dataValidations count="1">
    <dataValidation sqref="B3" showDropDown="0" showInputMessage="0" showErrorMessage="0" allowBlank="1" type="list">
      <formula1>"Periféricos,Monitores,Audio,Accesorios"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2" customWidth="1" min="3" max="3"/>
    <col width="12" customWidth="1" min="4" max="4"/>
    <col width="25" customWidth="1" min="5" max="5"/>
    <col width="80" customWidth="1" min="6" max="6"/>
    <col width="12" customWidth="1" min="7" max="7"/>
    <col width="14" customWidth="1" min="8" max="8"/>
  </cols>
  <sheetData>
    <row r="1" ht="28" customHeight="1">
      <c r="A1" s="10" t="inlineStr">
        <is>
          <t>ID</t>
        </is>
      </c>
      <c r="B1" s="10" t="inlineStr">
        <is>
          <t>CRITERIO</t>
        </is>
      </c>
      <c r="C1" s="10" t="inlineStr">
        <is>
          <t>HOJA</t>
        </is>
      </c>
      <c r="D1" s="10" t="inlineStr">
        <is>
          <t>RANGO</t>
        </is>
      </c>
      <c r="E1" s="10" t="inlineStr">
        <is>
          <t>TIPO_VALIDACION</t>
        </is>
      </c>
      <c r="F1" s="10" t="inlineStr">
        <is>
          <t>PARAMETROS</t>
        </is>
      </c>
      <c r="G1" s="10" t="inlineStr">
        <is>
          <t>PUNTOS</t>
        </is>
      </c>
      <c r="H1" s="10" t="inlineStr">
        <is>
          <t>OBLIGATORIO</t>
        </is>
      </c>
    </row>
    <row r="2">
      <c r="A2" s="11" t="inlineStr">
        <is>
          <t>CRIT_01</t>
        </is>
      </c>
      <c r="B2" s="12" t="inlineStr">
        <is>
          <t>Calcular Subtotal multiplicando Cantidad por Precio Unitario</t>
        </is>
      </c>
      <c r="C2" s="11" t="inlineStr">
        <is>
          <t>Ventas</t>
        </is>
      </c>
      <c r="D2" s="11" t="inlineStr">
        <is>
          <t>E2:E10</t>
        </is>
      </c>
      <c r="E2" s="11" t="inlineStr">
        <is>
          <t>formula_flexible</t>
        </is>
      </c>
      <c r="F2" s="12" t="inlineStr">
        <is>
          <t>{"referencias": ["C", "D"]}</t>
        </is>
      </c>
      <c r="G2" s="13" t="n">
        <v>15</v>
      </c>
      <c r="H2" s="11" t="inlineStr">
        <is>
          <t>SI</t>
        </is>
      </c>
    </row>
    <row r="3">
      <c r="A3" s="14" t="inlineStr">
        <is>
          <t>CRIT_02</t>
        </is>
      </c>
      <c r="B3" s="15" t="inlineStr">
        <is>
          <t>Calcular Total general de Ventas mediante función SUMA</t>
        </is>
      </c>
      <c r="C3" s="14" t="inlineStr">
        <is>
          <t>Ventas</t>
        </is>
      </c>
      <c r="D3" s="14" t="inlineStr">
        <is>
          <t>G11</t>
        </is>
      </c>
      <c r="E3" s="14" t="inlineStr">
        <is>
          <t>formula_flexible</t>
        </is>
      </c>
      <c r="F3" s="15" t="inlineStr">
        <is>
          <t>{"funciones": ["SUMA", "SUM"], "referencias": ["G2:G10"]}</t>
        </is>
      </c>
      <c r="G3" s="16" t="n">
        <v>20</v>
      </c>
      <c r="H3" s="14" t="inlineStr">
        <is>
          <t>SI</t>
        </is>
      </c>
    </row>
    <row r="4">
      <c r="A4" s="11" t="inlineStr">
        <is>
          <t>CRIT_03</t>
        </is>
      </c>
      <c r="B4" s="12" t="inlineStr">
        <is>
          <t>Verificar valor numérico del Gran Total de Ventas</t>
        </is>
      </c>
      <c r="C4" s="11" t="inlineStr">
        <is>
          <t>Ventas</t>
        </is>
      </c>
      <c r="D4" s="11" t="inlineStr">
        <is>
          <t>G11</t>
        </is>
      </c>
      <c r="E4" s="11" t="inlineStr">
        <is>
          <t>valor_numerico</t>
        </is>
      </c>
      <c r="F4" s="12" t="inlineStr">
        <is>
          <t>{"valor": 5006.5, "tolerancia": 1.0}</t>
        </is>
      </c>
      <c r="G4" s="13" t="n">
        <v>15</v>
      </c>
      <c r="H4" s="11" t="inlineStr">
        <is>
          <t>NO</t>
        </is>
      </c>
    </row>
    <row r="5">
      <c r="A5" s="14" t="inlineStr">
        <is>
          <t>CRIT_04</t>
        </is>
      </c>
      <c r="B5" s="15" t="inlineStr">
        <is>
          <t>Aplicar formato de Moneda en columnas de precio y totales</t>
        </is>
      </c>
      <c r="C5" s="14" t="inlineStr">
        <is>
          <t>Ventas</t>
        </is>
      </c>
      <c r="D5" s="14" t="inlineStr">
        <is>
          <t>D2:G11</t>
        </is>
      </c>
      <c r="E5" s="14" t="inlineStr">
        <is>
          <t>formato_numero</t>
        </is>
      </c>
      <c r="F5" s="15" t="inlineStr">
        <is>
          <t>{"formato": "moneda"}</t>
        </is>
      </c>
      <c r="G5" s="16" t="n">
        <v>10</v>
      </c>
      <c r="H5" s="14" t="inlineStr">
        <is>
          <t>NO</t>
        </is>
      </c>
    </row>
    <row r="6">
      <c r="A6" s="11" t="inlineStr">
        <is>
          <t>CRIT_05</t>
        </is>
      </c>
      <c r="B6" s="12" t="inlineStr">
        <is>
          <t>Aplicar estilo visual a encabezados (negrita, relleno y bordes)</t>
        </is>
      </c>
      <c r="C6" s="11" t="inlineStr">
        <is>
          <t>Ventas</t>
        </is>
      </c>
      <c r="D6" s="11" t="inlineStr">
        <is>
          <t>A1:G1</t>
        </is>
      </c>
      <c r="E6" s="11" t="inlineStr">
        <is>
          <t>estilo_visual_flexible</t>
        </is>
      </c>
      <c r="F6" s="12" t="inlineStr">
        <is>
          <t>{"requiere_negrita": true, "requiere_relleno": true, "requiere_bordes": true}</t>
        </is>
      </c>
      <c r="G6" s="13" t="n">
        <v>10</v>
      </c>
      <c r="H6" s="11" t="inlineStr">
        <is>
          <t>NO</t>
        </is>
      </c>
    </row>
    <row r="7">
      <c r="A7" s="14" t="inlineStr">
        <is>
          <t>CRIT_06</t>
        </is>
      </c>
      <c r="B7" s="15" t="inlineStr">
        <is>
          <t>Combinar celdas del título principal en hoja Resumen</t>
        </is>
      </c>
      <c r="C7" s="14" t="inlineStr">
        <is>
          <t>Resumen</t>
        </is>
      </c>
      <c r="D7" s="14" t="inlineStr">
        <is>
          <t>A1:D1</t>
        </is>
      </c>
      <c r="E7" s="14" t="inlineStr">
        <is>
          <t>celdas_combinadas</t>
        </is>
      </c>
      <c r="F7" s="15" t="inlineStr">
        <is>
          <t>{}</t>
        </is>
      </c>
      <c r="G7" s="16" t="n">
        <v>10</v>
      </c>
      <c r="H7" s="14" t="inlineStr">
        <is>
          <t>NO</t>
        </is>
      </c>
    </row>
    <row r="8">
      <c r="A8" s="11" t="inlineStr">
        <is>
          <t>CRIT_07</t>
        </is>
      </c>
      <c r="B8" s="12" t="inlineStr">
        <is>
          <t>Configurar lista desplegable de validación en celda B3</t>
        </is>
      </c>
      <c r="C8" s="11" t="inlineStr">
        <is>
          <t>Resumen</t>
        </is>
      </c>
      <c r="D8" s="11" t="inlineStr">
        <is>
          <t>B3</t>
        </is>
      </c>
      <c r="E8" s="11" t="inlineStr">
        <is>
          <t>validacion_datos</t>
        </is>
      </c>
      <c r="F8" s="12" t="inlineStr">
        <is>
          <t>{"tipo": "list"}</t>
        </is>
      </c>
      <c r="G8" s="13" t="n">
        <v>10</v>
      </c>
      <c r="H8" s="11" t="inlineStr">
        <is>
          <t>NO</t>
        </is>
      </c>
    </row>
    <row r="9">
      <c r="A9" s="14" t="inlineStr">
        <is>
          <t>CRIT_08</t>
        </is>
      </c>
      <c r="B9" s="15" t="inlineStr">
        <is>
          <t>Verificar existencia de Tabla Dinámica de resumen</t>
        </is>
      </c>
      <c r="C9" s="14" t="inlineStr">
        <is>
          <t>Resumen</t>
        </is>
      </c>
      <c r="D9" s="14" t="inlineStr">
        <is>
          <t>A10</t>
        </is>
      </c>
      <c r="E9" s="14" t="inlineStr">
        <is>
          <t>tabla_dinamica</t>
        </is>
      </c>
      <c r="F9" s="15" t="inlineStr">
        <is>
          <t>{"campos_fila": ["Categoria"], "campos_valor": ["Total"]}</t>
        </is>
      </c>
      <c r="G9" s="16" t="n">
        <v>10</v>
      </c>
      <c r="H9" s="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2026-09-20T17:25:38Z</dcterms:created>
  <dcterms:modified xsi:type="dcterms:W3CDTF">2026-09-20T17:25:38Z</dcterms:modified>
</cp:coreProperties>
</file>